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1.xml" ContentType="application/vnd.openxmlformats-officedocument.themeOverrid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3.xml" ContentType="application/vnd.openxmlformats-officedocument.themeOverrid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heme/themeOverride4.xml" ContentType="application/vnd.openxmlformats-officedocument.themeOverrid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5.xml" ContentType="application/vnd.openxmlformats-officedocument.themeOverride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a tryyyy\OJK\infografis\"/>
    </mc:Choice>
  </mc:AlternateContent>
  <xr:revisionPtr revIDLastSave="0" documentId="13_ncr:1_{DFEB45A6-625B-4F25-A2FE-D1924E9B8DEB}" xr6:coauthVersionLast="47" xr6:coauthVersionMax="47" xr10:uidLastSave="{00000000-0000-0000-0000-000000000000}"/>
  <bookViews>
    <workbookView xWindow="4728" yWindow="3012" windowWidth="17280" windowHeight="9444" tabRatio="899" firstSheet="1" activeTab="8" xr2:uid="{CFAA3549-3C2A-4AD9-992D-A8388C71C53D}"/>
  </bookViews>
  <sheets>
    <sheet name="BU-Kinerja Umum" sheetId="2" r:id="rId1"/>
    <sheet name="BU-Jenis Kredit" sheetId="3" r:id="rId2"/>
    <sheet name="BU-Skala Kredit" sheetId="4" r:id="rId3"/>
    <sheet name="Kredit BU Per Sektor" sheetId="10" r:id="rId4"/>
    <sheet name="Bank Imut" sheetId="8" r:id="rId5"/>
    <sheet name="BPR-Kinerja Umum" sheetId="6" r:id="rId6"/>
    <sheet name="PVML" sheetId="1" r:id="rId7"/>
    <sheet name="PPDP" sheetId="11" r:id="rId8"/>
    <sheet name="PM" sheetId="9" r:id="rId9"/>
    <sheet name="++" sheetId="12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1" i="10" l="1"/>
  <c r="AK21" i="6" l="1"/>
  <c r="AL30" i="6"/>
  <c r="AK30" i="6"/>
  <c r="AL29" i="6"/>
  <c r="AK29" i="6"/>
  <c r="AM28" i="6"/>
  <c r="AL28" i="6"/>
  <c r="AK28" i="6"/>
  <c r="AM34" i="8"/>
  <c r="AL34" i="8"/>
  <c r="AK34" i="8"/>
  <c r="AL33" i="8"/>
  <c r="AK33" i="8"/>
  <c r="AL32" i="8"/>
  <c r="AK32" i="8"/>
  <c r="O15" i="11" l="1"/>
  <c r="N15" i="11"/>
  <c r="K15" i="11"/>
  <c r="J15" i="11"/>
  <c r="X8" i="1"/>
  <c r="N8" i="1"/>
  <c r="M8" i="1"/>
  <c r="L8" i="1"/>
  <c r="H9" i="1" l="1"/>
  <c r="G9" i="1"/>
  <c r="C9" i="1"/>
  <c r="B9" i="1"/>
  <c r="C8" i="1"/>
  <c r="B8" i="1"/>
  <c r="D30" i="8" l="1"/>
  <c r="E30" i="8"/>
  <c r="C30" i="8"/>
  <c r="D29" i="8"/>
  <c r="E29" i="8"/>
  <c r="C29" i="8"/>
  <c r="S9" i="11" l="1"/>
  <c r="R9" i="11"/>
  <c r="O9" i="11"/>
  <c r="N9" i="11"/>
  <c r="K9" i="11"/>
  <c r="J9" i="11"/>
  <c r="G9" i="11"/>
  <c r="F9" i="11"/>
  <c r="C9" i="11"/>
  <c r="B9" i="11"/>
  <c r="S5" i="11"/>
  <c r="R5" i="11"/>
  <c r="O5" i="11"/>
  <c r="N5" i="11"/>
  <c r="K5" i="11"/>
  <c r="J5" i="11"/>
  <c r="G5" i="11"/>
  <c r="F5" i="11"/>
  <c r="C5" i="11"/>
  <c r="B5" i="11"/>
  <c r="B18" i="11" s="1"/>
  <c r="S8" i="11"/>
  <c r="R8" i="11"/>
  <c r="O8" i="11"/>
  <c r="N8" i="11"/>
  <c r="K8" i="11"/>
  <c r="J8" i="11"/>
  <c r="G8" i="11"/>
  <c r="F8" i="11"/>
  <c r="C8" i="11"/>
  <c r="B8" i="11"/>
  <c r="S4" i="11"/>
  <c r="R4" i="11"/>
  <c r="O4" i="11"/>
  <c r="N4" i="11"/>
  <c r="K4" i="11"/>
  <c r="J4" i="11"/>
  <c r="G4" i="11"/>
  <c r="F4" i="11"/>
  <c r="C4" i="11"/>
  <c r="B4" i="11"/>
  <c r="B16" i="1" l="1"/>
  <c r="Y30" i="8"/>
  <c r="Z30" i="8"/>
  <c r="X30" i="8"/>
  <c r="Y29" i="8"/>
  <c r="Z29" i="8"/>
  <c r="X29" i="8"/>
  <c r="F25" i="6" l="1"/>
  <c r="AF30" i="8" l="1"/>
  <c r="AG30" i="8"/>
  <c r="AE30" i="8"/>
  <c r="AF29" i="8"/>
  <c r="AG29" i="8"/>
  <c r="AE29" i="8"/>
  <c r="R30" i="8" l="1"/>
  <c r="S30" i="8"/>
  <c r="Q30" i="8"/>
  <c r="R29" i="8"/>
  <c r="S29" i="8"/>
  <c r="Q29" i="8"/>
  <c r="K30" i="8"/>
  <c r="L30" i="8"/>
  <c r="J30" i="8"/>
  <c r="K29" i="8"/>
  <c r="L29" i="8"/>
  <c r="J29" i="8"/>
  <c r="AK8" i="2"/>
  <c r="AJ8" i="2"/>
  <c r="AI8" i="2"/>
  <c r="AC8" i="2"/>
  <c r="AB8" i="2"/>
  <c r="AA8" i="2"/>
  <c r="U8" i="2"/>
  <c r="T8" i="2"/>
  <c r="S8" i="2"/>
  <c r="M8" i="2"/>
  <c r="L8" i="2"/>
  <c r="K8" i="2"/>
  <c r="E8" i="2"/>
  <c r="D8" i="2"/>
  <c r="C8" i="2"/>
  <c r="N8" i="2" l="1"/>
  <c r="AL8" i="2"/>
  <c r="O8" i="2"/>
  <c r="T23" i="6"/>
  <c r="AH26" i="8"/>
  <c r="AA26" i="8"/>
  <c r="E6" i="2"/>
  <c r="C32" i="8" l="1"/>
  <c r="U38" i="8"/>
  <c r="V38" i="8"/>
  <c r="T38" i="8"/>
  <c r="F22" i="6" l="1"/>
  <c r="X4" i="9" l="1"/>
  <c r="S4" i="9"/>
  <c r="N4" i="9"/>
  <c r="I4" i="9"/>
  <c r="W5" i="9"/>
  <c r="B12" i="11"/>
  <c r="R28" i="11"/>
  <c r="R27" i="11"/>
  <c r="R26" i="11"/>
  <c r="R25" i="11"/>
  <c r="R24" i="11"/>
  <c r="R23" i="11"/>
  <c r="R20" i="11"/>
  <c r="R19" i="11"/>
  <c r="N27" i="11"/>
  <c r="N26" i="11"/>
  <c r="N24" i="11"/>
  <c r="N23" i="11"/>
  <c r="N20" i="11"/>
  <c r="N19" i="11"/>
  <c r="J27" i="11"/>
  <c r="J26" i="11"/>
  <c r="J24" i="11"/>
  <c r="J23" i="11"/>
  <c r="J20" i="11"/>
  <c r="J19" i="11"/>
  <c r="F28" i="11"/>
  <c r="F27" i="11"/>
  <c r="F26" i="11"/>
  <c r="F24" i="11"/>
  <c r="F23" i="11"/>
  <c r="F20" i="11"/>
  <c r="F19" i="11"/>
  <c r="B28" i="11"/>
  <c r="B19" i="11"/>
  <c r="B20" i="11"/>
  <c r="B23" i="11"/>
  <c r="B24" i="11"/>
  <c r="B26" i="11"/>
  <c r="B27" i="11"/>
  <c r="R9" i="1"/>
  <c r="Q9" i="1"/>
  <c r="L9" i="1"/>
  <c r="M9" i="1"/>
  <c r="W8" i="1"/>
  <c r="V8" i="1"/>
  <c r="B15" i="1"/>
  <c r="C5" i="1" l="1"/>
  <c r="B5" i="1"/>
  <c r="B12" i="1" l="1"/>
  <c r="AL21" i="6"/>
  <c r="AM21" i="6"/>
  <c r="AM22" i="6"/>
  <c r="AL22" i="6"/>
  <c r="AK22" i="6"/>
  <c r="AJ22" i="8"/>
  <c r="F19" i="6"/>
  <c r="AK23" i="6" l="1"/>
  <c r="AL23" i="6"/>
  <c r="AM23" i="6"/>
  <c r="AH23" i="6"/>
  <c r="AA23" i="6"/>
  <c r="M23" i="6"/>
  <c r="F23" i="6"/>
  <c r="AL22" i="8"/>
  <c r="AK22" i="8"/>
  <c r="AL25" i="8"/>
  <c r="AK25" i="8"/>
  <c r="AK23" i="8" s="1"/>
  <c r="AJ25" i="8"/>
  <c r="AJ23" i="8" s="1"/>
  <c r="AL23" i="8" l="1"/>
  <c r="AH27" i="8"/>
  <c r="AA27" i="8"/>
  <c r="T27" i="8"/>
  <c r="M27" i="8"/>
  <c r="F27" i="8"/>
  <c r="T21" i="8"/>
  <c r="F21" i="8"/>
  <c r="D38" i="8"/>
  <c r="V16" i="1" l="1"/>
  <c r="Q15" i="1"/>
  <c r="G15" i="1"/>
  <c r="T26" i="8" l="1"/>
  <c r="M26" i="8"/>
  <c r="F26" i="8"/>
  <c r="F25" i="8"/>
  <c r="AM8" i="2"/>
  <c r="AD8" i="2" l="1"/>
  <c r="AE8" i="2"/>
  <c r="V8" i="2"/>
  <c r="W8" i="2"/>
  <c r="G8" i="2"/>
  <c r="F8" i="2"/>
  <c r="S32" i="8" l="1"/>
  <c r="C15" i="2"/>
  <c r="V15" i="1" l="1"/>
  <c r="Q16" i="1" l="1"/>
  <c r="AH26" i="6"/>
  <c r="AH29" i="6"/>
  <c r="AH28" i="6"/>
  <c r="F8" i="9" l="1"/>
  <c r="K8" i="9" s="1"/>
  <c r="P8" i="9" s="1"/>
  <c r="U8" i="9" s="1"/>
  <c r="F20" i="8"/>
  <c r="T20" i="8"/>
  <c r="L15" i="1" l="1"/>
  <c r="G16" i="1"/>
  <c r="F38" i="8"/>
  <c r="AF32" i="8"/>
  <c r="Y32" i="8"/>
  <c r="R32" i="8" l="1"/>
  <c r="K32" i="8" l="1"/>
  <c r="D32" i="8"/>
  <c r="U37" i="8" l="1"/>
  <c r="U39" i="8" s="1"/>
  <c r="AE32" i="8"/>
  <c r="N28" i="11"/>
  <c r="O12" i="11"/>
  <c r="N12" i="11"/>
  <c r="K12" i="11"/>
  <c r="J12" i="11"/>
  <c r="G12" i="11"/>
  <c r="F12" i="11"/>
  <c r="F25" i="11" s="1"/>
  <c r="C12" i="11"/>
  <c r="B25" i="11" s="1"/>
  <c r="B24" i="10"/>
  <c r="I6" i="1"/>
  <c r="D6" i="1"/>
  <c r="D5" i="1"/>
  <c r="AC6" i="4"/>
  <c r="AB6" i="4"/>
  <c r="W6" i="4"/>
  <c r="V6" i="4"/>
  <c r="Q6" i="4"/>
  <c r="P6" i="4"/>
  <c r="K6" i="4"/>
  <c r="J6" i="4"/>
  <c r="E6" i="4"/>
  <c r="D6" i="4"/>
  <c r="AC5" i="4"/>
  <c r="AB5" i="4"/>
  <c r="W5" i="4"/>
  <c r="V5" i="4"/>
  <c r="Q5" i="4"/>
  <c r="P5" i="4"/>
  <c r="K5" i="4"/>
  <c r="J5" i="4"/>
  <c r="E5" i="4"/>
  <c r="D5" i="4"/>
  <c r="AC4" i="4"/>
  <c r="AB4" i="4"/>
  <c r="W4" i="4"/>
  <c r="V4" i="4"/>
  <c r="Q4" i="4"/>
  <c r="P4" i="4"/>
  <c r="K4" i="4"/>
  <c r="J4" i="4"/>
  <c r="E4" i="4"/>
  <c r="D4" i="4"/>
  <c r="E35" i="10"/>
  <c r="D35" i="10"/>
  <c r="C35" i="10"/>
  <c r="B35" i="10"/>
  <c r="E34" i="10"/>
  <c r="D34" i="10"/>
  <c r="C34" i="10"/>
  <c r="B34" i="10"/>
  <c r="E33" i="10"/>
  <c r="D33" i="10"/>
  <c r="C33" i="10"/>
  <c r="B33" i="10"/>
  <c r="E32" i="10"/>
  <c r="D32" i="10"/>
  <c r="C32" i="10"/>
  <c r="B32" i="10"/>
  <c r="E31" i="10"/>
  <c r="D31" i="10"/>
  <c r="C31" i="10"/>
  <c r="B31" i="10"/>
  <c r="E28" i="10"/>
  <c r="D28" i="10"/>
  <c r="C28" i="10"/>
  <c r="B28" i="10"/>
  <c r="E27" i="10"/>
  <c r="D27" i="10"/>
  <c r="C27" i="10"/>
  <c r="B27" i="10"/>
  <c r="E26" i="10"/>
  <c r="D26" i="10"/>
  <c r="C26" i="10"/>
  <c r="B26" i="10"/>
  <c r="E25" i="10"/>
  <c r="D25" i="10"/>
  <c r="C25" i="10"/>
  <c r="B25" i="10"/>
  <c r="E24" i="10"/>
  <c r="D24" i="10"/>
  <c r="C24" i="10"/>
  <c r="E21" i="10"/>
  <c r="D21" i="10"/>
  <c r="C21" i="10"/>
  <c r="B21" i="10"/>
  <c r="E20" i="10"/>
  <c r="D20" i="10"/>
  <c r="C20" i="10"/>
  <c r="B20" i="10"/>
  <c r="E19" i="10"/>
  <c r="D19" i="10"/>
  <c r="C19" i="10"/>
  <c r="B19" i="10"/>
  <c r="E18" i="10"/>
  <c r="D18" i="10"/>
  <c r="C18" i="10"/>
  <c r="B18" i="10"/>
  <c r="E17" i="10"/>
  <c r="D17" i="10"/>
  <c r="C17" i="10"/>
  <c r="B17" i="10"/>
  <c r="E14" i="10"/>
  <c r="D14" i="10"/>
  <c r="C14" i="10"/>
  <c r="B14" i="10"/>
  <c r="E13" i="10"/>
  <c r="D13" i="10"/>
  <c r="C13" i="10"/>
  <c r="B13" i="10"/>
  <c r="E12" i="10"/>
  <c r="D12" i="10"/>
  <c r="C12" i="10"/>
  <c r="B12" i="10"/>
  <c r="E11" i="10"/>
  <c r="D11" i="10"/>
  <c r="C11" i="10"/>
  <c r="B11" i="10"/>
  <c r="E10" i="10"/>
  <c r="D10" i="10"/>
  <c r="C10" i="10"/>
  <c r="B10" i="10"/>
  <c r="E7" i="10"/>
  <c r="D7" i="10"/>
  <c r="C7" i="10"/>
  <c r="B7" i="10"/>
  <c r="E6" i="10"/>
  <c r="D6" i="10"/>
  <c r="C6" i="10"/>
  <c r="B6" i="10"/>
  <c r="E5" i="10"/>
  <c r="D5" i="10"/>
  <c r="C5" i="10"/>
  <c r="B5" i="10"/>
  <c r="E4" i="10"/>
  <c r="D4" i="10"/>
  <c r="C4" i="10"/>
  <c r="B4" i="10"/>
  <c r="E3" i="10"/>
  <c r="D3" i="10"/>
  <c r="C3" i="10"/>
  <c r="B3" i="10"/>
  <c r="X6" i="3"/>
  <c r="W6" i="3"/>
  <c r="S6" i="3"/>
  <c r="R6" i="3"/>
  <c r="N6" i="3"/>
  <c r="M6" i="3"/>
  <c r="I6" i="3"/>
  <c r="H6" i="3"/>
  <c r="D6" i="3"/>
  <c r="C6" i="3"/>
  <c r="X5" i="3"/>
  <c r="W5" i="3"/>
  <c r="S5" i="3"/>
  <c r="R5" i="3"/>
  <c r="N5" i="3"/>
  <c r="M5" i="3"/>
  <c r="I5" i="3"/>
  <c r="H5" i="3"/>
  <c r="D5" i="3"/>
  <c r="C5" i="3"/>
  <c r="X4" i="3"/>
  <c r="W4" i="3"/>
  <c r="S4" i="3"/>
  <c r="R4" i="3"/>
  <c r="N4" i="3"/>
  <c r="M4" i="3"/>
  <c r="I4" i="3"/>
  <c r="H4" i="3"/>
  <c r="D4" i="3"/>
  <c r="C4" i="3"/>
  <c r="D14" i="2"/>
  <c r="D21" i="2" s="1"/>
  <c r="D28" i="2" s="1"/>
  <c r="E14" i="2"/>
  <c r="E21" i="2" s="1"/>
  <c r="E28" i="2" s="1"/>
  <c r="F14" i="2"/>
  <c r="F21" i="2" s="1"/>
  <c r="F28" i="2" s="1"/>
  <c r="C14" i="2"/>
  <c r="C21" i="2" s="1"/>
  <c r="C28" i="2" s="1"/>
  <c r="AK9" i="2"/>
  <c r="AJ9" i="2"/>
  <c r="AI9" i="2"/>
  <c r="AK7" i="2"/>
  <c r="AJ7" i="2"/>
  <c r="AI7" i="2"/>
  <c r="AK6" i="2"/>
  <c r="AJ6" i="2"/>
  <c r="AI6" i="2"/>
  <c r="AK5" i="2"/>
  <c r="AJ5" i="2"/>
  <c r="AI5" i="2"/>
  <c r="AK4" i="2"/>
  <c r="AJ4" i="2"/>
  <c r="AI4" i="2"/>
  <c r="AC9" i="2"/>
  <c r="AB9" i="2"/>
  <c r="AA9" i="2"/>
  <c r="AC7" i="2"/>
  <c r="AB7" i="2"/>
  <c r="AA7" i="2"/>
  <c r="AC6" i="2"/>
  <c r="U5" i="4" s="1"/>
  <c r="AB6" i="2"/>
  <c r="AA6" i="2"/>
  <c r="AC5" i="2"/>
  <c r="AB5" i="2"/>
  <c r="AA5" i="2"/>
  <c r="AC4" i="2"/>
  <c r="AB4" i="2"/>
  <c r="AA4" i="2"/>
  <c r="U9" i="2"/>
  <c r="T9" i="2"/>
  <c r="S9" i="2"/>
  <c r="U7" i="2"/>
  <c r="T7" i="2"/>
  <c r="S7" i="2"/>
  <c r="U6" i="2"/>
  <c r="O5" i="4" s="1"/>
  <c r="T6" i="2"/>
  <c r="S6" i="2"/>
  <c r="U5" i="2"/>
  <c r="T5" i="2"/>
  <c r="S5" i="2"/>
  <c r="U4" i="2"/>
  <c r="T4" i="2"/>
  <c r="S4" i="2"/>
  <c r="M9" i="2"/>
  <c r="L9" i="2"/>
  <c r="K9" i="2"/>
  <c r="M7" i="2"/>
  <c r="L7" i="2"/>
  <c r="K7" i="2"/>
  <c r="M6" i="2"/>
  <c r="I6" i="4" s="1"/>
  <c r="L6" i="2"/>
  <c r="K6" i="2"/>
  <c r="M5" i="2"/>
  <c r="L5" i="2"/>
  <c r="K5" i="2"/>
  <c r="M4" i="2"/>
  <c r="L4" i="2"/>
  <c r="K4" i="2"/>
  <c r="E9" i="2"/>
  <c r="D9" i="2"/>
  <c r="C9" i="2"/>
  <c r="E7" i="2"/>
  <c r="D7" i="2"/>
  <c r="C7" i="2"/>
  <c r="D6" i="2"/>
  <c r="C6" i="2"/>
  <c r="E5" i="2"/>
  <c r="D5" i="2"/>
  <c r="C5" i="2"/>
  <c r="E4" i="2"/>
  <c r="D4" i="2"/>
  <c r="C4" i="2"/>
  <c r="AD28" i="8"/>
  <c r="AD25" i="8"/>
  <c r="AD24" i="8"/>
  <c r="AD23" i="8"/>
  <c r="AD22" i="8"/>
  <c r="AD21" i="8"/>
  <c r="AD20" i="8"/>
  <c r="C12" i="2" l="1"/>
  <c r="AE9" i="2"/>
  <c r="J28" i="11"/>
  <c r="J25" i="11"/>
  <c r="AA20" i="2"/>
  <c r="AA21" i="2" s="1"/>
  <c r="AB20" i="2"/>
  <c r="AB21" i="2" s="1"/>
  <c r="AC20" i="2"/>
  <c r="AC21" i="2" s="1"/>
  <c r="N25" i="11"/>
  <c r="AK12" i="2"/>
  <c r="K12" i="2"/>
  <c r="E12" i="2"/>
  <c r="L12" i="2"/>
  <c r="M12" i="2"/>
  <c r="T12" i="2"/>
  <c r="AA5" i="4"/>
  <c r="AA4" i="4"/>
  <c r="U12" i="2"/>
  <c r="AB12" i="2"/>
  <c r="AI12" i="2"/>
  <c r="D12" i="2"/>
  <c r="S12" i="2"/>
  <c r="AA12" i="2"/>
  <c r="AC12" i="2"/>
  <c r="AJ12" i="2"/>
  <c r="C9" i="3"/>
  <c r="F7" i="2"/>
  <c r="G7" i="2"/>
  <c r="AM7" i="2"/>
  <c r="AA6" i="4"/>
  <c r="C10" i="3"/>
  <c r="C6" i="4"/>
  <c r="D10" i="4" s="1"/>
  <c r="D11" i="4" s="1"/>
  <c r="O6" i="4"/>
  <c r="C4" i="4"/>
  <c r="C5" i="4"/>
  <c r="U4" i="4"/>
  <c r="U6" i="4"/>
  <c r="I4" i="4"/>
  <c r="I5" i="4"/>
  <c r="O4" i="4"/>
  <c r="C11" i="3"/>
  <c r="W28" i="8"/>
  <c r="W25" i="8"/>
  <c r="W24" i="8"/>
  <c r="W23" i="8"/>
  <c r="W22" i="8"/>
  <c r="W21" i="8"/>
  <c r="W20" i="8"/>
  <c r="N4" i="10" l="1"/>
  <c r="N6" i="10"/>
  <c r="N3" i="10"/>
  <c r="N5" i="10"/>
  <c r="N7" i="10"/>
  <c r="P28" i="8"/>
  <c r="P25" i="8"/>
  <c r="P24" i="8"/>
  <c r="P23" i="8"/>
  <c r="P22" i="8"/>
  <c r="P21" i="8"/>
  <c r="P20" i="8"/>
  <c r="I28" i="8"/>
  <c r="I25" i="8"/>
  <c r="I24" i="8"/>
  <c r="I23" i="8"/>
  <c r="I22" i="8"/>
  <c r="I21" i="8"/>
  <c r="I20" i="8"/>
  <c r="B28" i="8"/>
  <c r="B25" i="8"/>
  <c r="B24" i="8"/>
  <c r="B23" i="8"/>
  <c r="B22" i="8"/>
  <c r="B21" i="8"/>
  <c r="B20" i="8"/>
  <c r="E34" i="6" l="1"/>
  <c r="F52" i="6" l="1"/>
  <c r="E52" i="6"/>
  <c r="D52" i="6"/>
  <c r="C52" i="6"/>
  <c r="F51" i="6"/>
  <c r="E51" i="6"/>
  <c r="D51" i="6"/>
  <c r="C51" i="6"/>
  <c r="F50" i="6"/>
  <c r="E50" i="6"/>
  <c r="D50" i="6"/>
  <c r="C50" i="6"/>
  <c r="F49" i="6"/>
  <c r="E49" i="6"/>
  <c r="D49" i="6"/>
  <c r="C49" i="6"/>
  <c r="F48" i="6"/>
  <c r="E48" i="6"/>
  <c r="D48" i="6"/>
  <c r="C48" i="6"/>
  <c r="F45" i="6"/>
  <c r="E45" i="6"/>
  <c r="D45" i="6"/>
  <c r="C45" i="6"/>
  <c r="F44" i="6"/>
  <c r="E44" i="6"/>
  <c r="D44" i="6"/>
  <c r="C44" i="6"/>
  <c r="F43" i="6"/>
  <c r="E43" i="6"/>
  <c r="D43" i="6"/>
  <c r="C43" i="6"/>
  <c r="F42" i="6"/>
  <c r="E42" i="6"/>
  <c r="D42" i="6"/>
  <c r="C42" i="6"/>
  <c r="F41" i="6"/>
  <c r="E41" i="6"/>
  <c r="D41" i="6"/>
  <c r="C41" i="6"/>
  <c r="F38" i="6"/>
  <c r="E38" i="6"/>
  <c r="D38" i="6"/>
  <c r="C38" i="6"/>
  <c r="F37" i="6"/>
  <c r="E37" i="6"/>
  <c r="D37" i="6"/>
  <c r="C37" i="6"/>
  <c r="F36" i="6"/>
  <c r="E36" i="6"/>
  <c r="D36" i="6"/>
  <c r="C36" i="6"/>
  <c r="F35" i="6"/>
  <c r="E35" i="6"/>
  <c r="D35" i="6"/>
  <c r="C35" i="6"/>
  <c r="F34" i="6"/>
  <c r="D34" i="6"/>
  <c r="C34" i="6"/>
  <c r="C4" i="6"/>
  <c r="C5" i="6"/>
  <c r="C6" i="6"/>
  <c r="C7" i="6"/>
  <c r="F52" i="8"/>
  <c r="E52" i="8"/>
  <c r="D52" i="8"/>
  <c r="C52" i="8"/>
  <c r="F56" i="8"/>
  <c r="E56" i="8"/>
  <c r="D56" i="8"/>
  <c r="C56" i="8"/>
  <c r="F55" i="8"/>
  <c r="E55" i="8"/>
  <c r="D55" i="8"/>
  <c r="C55" i="8"/>
  <c r="F54" i="8"/>
  <c r="E54" i="8"/>
  <c r="D54" i="8"/>
  <c r="C54" i="8"/>
  <c r="F53" i="8"/>
  <c r="E53" i="8"/>
  <c r="D53" i="8"/>
  <c r="C53" i="8"/>
  <c r="F49" i="8"/>
  <c r="E49" i="8"/>
  <c r="D49" i="8"/>
  <c r="C49" i="8"/>
  <c r="F48" i="8"/>
  <c r="E48" i="8"/>
  <c r="D48" i="8"/>
  <c r="C48" i="8"/>
  <c r="F47" i="8"/>
  <c r="E47" i="8"/>
  <c r="D47" i="8"/>
  <c r="C47" i="8"/>
  <c r="F46" i="8"/>
  <c r="E46" i="8"/>
  <c r="D46" i="8"/>
  <c r="C46" i="8"/>
  <c r="F45" i="8"/>
  <c r="E45" i="8"/>
  <c r="D45" i="8"/>
  <c r="C45" i="8"/>
  <c r="F42" i="8"/>
  <c r="E42" i="8"/>
  <c r="D42" i="8"/>
  <c r="C42" i="8"/>
  <c r="F41" i="8"/>
  <c r="E41" i="8"/>
  <c r="D41" i="8"/>
  <c r="C41" i="8"/>
  <c r="F40" i="8"/>
  <c r="E40" i="8"/>
  <c r="D40" i="8"/>
  <c r="C40" i="8"/>
  <c r="F39" i="8"/>
  <c r="E39" i="8"/>
  <c r="D39" i="8"/>
  <c r="C39" i="8"/>
  <c r="E38" i="8"/>
  <c r="C38" i="8"/>
  <c r="AH25" i="8"/>
  <c r="C33" i="2"/>
  <c r="C32" i="2"/>
  <c r="C31" i="2"/>
  <c r="F30" i="2"/>
  <c r="C30" i="2"/>
  <c r="E29" i="2"/>
  <c r="D29" i="2"/>
  <c r="C29" i="2"/>
  <c r="D26" i="2"/>
  <c r="C26" i="2"/>
  <c r="E25" i="2"/>
  <c r="D25" i="2"/>
  <c r="C25" i="2"/>
  <c r="C24" i="2"/>
  <c r="C23" i="2"/>
  <c r="C22" i="2"/>
  <c r="F19" i="2"/>
  <c r="C19" i="2"/>
  <c r="E18" i="2"/>
  <c r="D18" i="2"/>
  <c r="C18" i="2"/>
  <c r="C17" i="2"/>
  <c r="D16" i="2"/>
  <c r="C16" i="2"/>
  <c r="F15" i="2"/>
  <c r="F33" i="2"/>
  <c r="E33" i="2"/>
  <c r="D33" i="2"/>
  <c r="F26" i="2"/>
  <c r="E26" i="2"/>
  <c r="E19" i="2"/>
  <c r="D19" i="2"/>
  <c r="F32" i="2"/>
  <c r="E32" i="2"/>
  <c r="D32" i="2"/>
  <c r="F25" i="2"/>
  <c r="F18" i="2"/>
  <c r="F31" i="2"/>
  <c r="E31" i="2"/>
  <c r="D31" i="2"/>
  <c r="F24" i="2"/>
  <c r="E24" i="2"/>
  <c r="D24" i="2"/>
  <c r="F17" i="2"/>
  <c r="E17" i="2"/>
  <c r="D17" i="2"/>
  <c r="E30" i="2"/>
  <c r="D30" i="2"/>
  <c r="F23" i="2"/>
  <c r="E23" i="2"/>
  <c r="D23" i="2"/>
  <c r="F16" i="2"/>
  <c r="E16" i="2"/>
  <c r="F29" i="2"/>
  <c r="F22" i="2"/>
  <c r="E22" i="2"/>
  <c r="D22" i="2"/>
  <c r="E15" i="2"/>
  <c r="D15" i="2"/>
  <c r="V41" i="6" l="1" a="1"/>
  <c r="V41" i="6" s="1"/>
  <c r="V48" i="6" a="1"/>
  <c r="V48" i="6" s="1"/>
  <c r="V32" i="6" a="1"/>
  <c r="V32" i="6" s="1"/>
  <c r="C8" i="6"/>
  <c r="G5" i="2"/>
  <c r="F5" i="2"/>
  <c r="M25" i="6"/>
  <c r="T25" i="6"/>
  <c r="AA25" i="6"/>
  <c r="AH25" i="6"/>
  <c r="AA29" i="6" l="1"/>
  <c r="AA28" i="6"/>
  <c r="T29" i="6"/>
  <c r="T28" i="6"/>
  <c r="M29" i="6"/>
  <c r="M28" i="6"/>
  <c r="F29" i="6"/>
  <c r="F28" i="6"/>
  <c r="AM29" i="6" l="1"/>
  <c r="AM30" i="6" l="1"/>
  <c r="F24" i="8" l="1"/>
  <c r="M24" i="8"/>
  <c r="T24" i="8"/>
  <c r="AA24" i="8"/>
  <c r="AH24" i="8"/>
  <c r="AG32" i="8"/>
  <c r="AH33" i="8"/>
  <c r="Z32" i="8"/>
  <c r="X32" i="8"/>
  <c r="AA33" i="8"/>
  <c r="Q32" i="8"/>
  <c r="T32" i="8" s="1"/>
  <c r="T33" i="8"/>
  <c r="L32" i="8"/>
  <c r="J32" i="8"/>
  <c r="M33" i="8"/>
  <c r="F33" i="8"/>
  <c r="E32" i="8"/>
  <c r="T37" i="8" l="1"/>
  <c r="T39" i="8" s="1"/>
  <c r="V37" i="8"/>
  <c r="V39" i="8" s="1"/>
  <c r="F32" i="8"/>
  <c r="AH32" i="8"/>
  <c r="AM33" i="8"/>
  <c r="AA32" i="8"/>
  <c r="M32" i="8"/>
  <c r="X39" i="8" l="1"/>
  <c r="AM32" i="8"/>
  <c r="AH30" i="8" l="1"/>
  <c r="AH29" i="8"/>
  <c r="AA30" i="8"/>
  <c r="AA29" i="8"/>
  <c r="T30" i="8"/>
  <c r="T29" i="8"/>
  <c r="M30" i="8"/>
  <c r="M29" i="8"/>
  <c r="F30" i="8"/>
  <c r="F29" i="8"/>
  <c r="F28" i="8"/>
  <c r="F6" i="1"/>
  <c r="B6" i="1" l="1"/>
  <c r="J21" i="11"/>
  <c r="J18" i="11"/>
  <c r="B17" i="11"/>
  <c r="F17" i="11" l="1"/>
  <c r="R18" i="11"/>
  <c r="N17" i="11"/>
  <c r="R17" i="11"/>
  <c r="N22" i="11"/>
  <c r="B21" i="11"/>
  <c r="R21" i="11"/>
  <c r="F18" i="11"/>
  <c r="R22" i="11"/>
  <c r="J22" i="11"/>
  <c r="J17" i="11"/>
  <c r="B22" i="11"/>
  <c r="F21" i="11"/>
  <c r="N18" i="11"/>
  <c r="F22" i="11"/>
  <c r="N21" i="11"/>
  <c r="X6" i="1"/>
  <c r="W6" i="1"/>
  <c r="V6" i="1"/>
  <c r="S6" i="1"/>
  <c r="R6" i="1"/>
  <c r="Q6" i="1"/>
  <c r="N6" i="1"/>
  <c r="M6" i="1"/>
  <c r="L6" i="1"/>
  <c r="H6" i="1"/>
  <c r="G6" i="1"/>
  <c r="C6" i="1"/>
  <c r="B13" i="1" s="1"/>
  <c r="X5" i="1"/>
  <c r="W5" i="1"/>
  <c r="V5" i="1"/>
  <c r="S5" i="1"/>
  <c r="R5" i="1"/>
  <c r="Q5" i="1"/>
  <c r="N5" i="1"/>
  <c r="M5" i="1"/>
  <c r="L5" i="1"/>
  <c r="I5" i="1"/>
  <c r="H5" i="1"/>
  <c r="G5" i="1"/>
  <c r="G12" i="1" s="1"/>
  <c r="W4" i="9"/>
  <c r="R4" i="9"/>
  <c r="M4" i="9"/>
  <c r="H4" i="9"/>
  <c r="X11" i="9"/>
  <c r="W11" i="9"/>
  <c r="S11" i="9"/>
  <c r="R11" i="9"/>
  <c r="N11" i="9"/>
  <c r="M11" i="9"/>
  <c r="I11" i="9"/>
  <c r="H11" i="9"/>
  <c r="D11" i="9"/>
  <c r="C11" i="9"/>
  <c r="X10" i="9"/>
  <c r="W10" i="9"/>
  <c r="S10" i="9"/>
  <c r="R10" i="9"/>
  <c r="N10" i="9"/>
  <c r="M10" i="9"/>
  <c r="I10" i="9"/>
  <c r="H10" i="9"/>
  <c r="D10" i="9"/>
  <c r="C10" i="9"/>
  <c r="X7" i="9"/>
  <c r="W7" i="9"/>
  <c r="S7" i="9"/>
  <c r="R7" i="9"/>
  <c r="N7" i="9"/>
  <c r="M7" i="9"/>
  <c r="I7" i="9"/>
  <c r="H7" i="9"/>
  <c r="D7" i="9"/>
  <c r="C7" i="9"/>
  <c r="X6" i="9"/>
  <c r="W6" i="9"/>
  <c r="S6" i="9"/>
  <c r="R6" i="9"/>
  <c r="N6" i="9"/>
  <c r="M6" i="9"/>
  <c r="I6" i="9"/>
  <c r="H6" i="9"/>
  <c r="D6" i="9"/>
  <c r="C6" i="9"/>
  <c r="X5" i="9"/>
  <c r="S5" i="9"/>
  <c r="R5" i="9"/>
  <c r="N5" i="9"/>
  <c r="M5" i="9"/>
  <c r="I5" i="9"/>
  <c r="H5" i="9"/>
  <c r="D5" i="9"/>
  <c r="C5" i="9"/>
  <c r="D4" i="9"/>
  <c r="C4" i="9"/>
  <c r="Q13" i="1" l="1"/>
  <c r="G13" i="1"/>
  <c r="Q12" i="1"/>
  <c r="L12" i="1"/>
  <c r="V12" i="1"/>
  <c r="L13" i="1"/>
  <c r="V13" i="1"/>
  <c r="AE3" i="9"/>
  <c r="AB3" i="9"/>
  <c r="AC3" i="9"/>
  <c r="AD3" i="9"/>
  <c r="AF3" i="9"/>
  <c r="L16" i="1" l="1"/>
  <c r="T28" i="8"/>
  <c r="AA25" i="8"/>
  <c r="T25" i="8"/>
  <c r="M25" i="8"/>
  <c r="AH23" i="8"/>
  <c r="AA23" i="8"/>
  <c r="T23" i="8"/>
  <c r="M23" i="8"/>
  <c r="F23" i="8"/>
  <c r="T22" i="8"/>
  <c r="M28" i="8"/>
  <c r="M22" i="8"/>
  <c r="F22" i="8"/>
  <c r="AH21" i="8"/>
  <c r="AA21" i="8"/>
  <c r="M21" i="8"/>
  <c r="AH20" i="8"/>
  <c r="AA20" i="8"/>
  <c r="M20" i="8"/>
  <c r="E14" i="11"/>
  <c r="I14" i="11" s="1"/>
  <c r="M14" i="11" s="1"/>
  <c r="Q14" i="11" s="1"/>
  <c r="AA28" i="8" l="1"/>
  <c r="AH28" i="8"/>
  <c r="AA22" i="8"/>
  <c r="AH22" i="8"/>
  <c r="F7" i="1" l="1"/>
  <c r="K7" i="1" s="1"/>
  <c r="P7" i="1" s="1"/>
  <c r="U7" i="1" s="1"/>
  <c r="AL9" i="2" l="1"/>
  <c r="E11" i="11"/>
  <c r="I11" i="11" s="1"/>
  <c r="M11" i="11" s="1"/>
  <c r="Q11" i="11" s="1"/>
  <c r="A7" i="11"/>
  <c r="E3" i="11"/>
  <c r="E7" i="11" s="1"/>
  <c r="K6" i="1"/>
  <c r="P6" i="1" s="1"/>
  <c r="U6" i="1" s="1"/>
  <c r="F8" i="1"/>
  <c r="K8" i="1" s="1"/>
  <c r="P8" i="1" s="1"/>
  <c r="U8" i="1" s="1"/>
  <c r="F5" i="1"/>
  <c r="K5" i="1" s="1"/>
  <c r="P5" i="1" s="1"/>
  <c r="U5" i="1" s="1"/>
  <c r="AL4" i="2" l="1"/>
  <c r="AL7" i="2"/>
  <c r="I3" i="11"/>
  <c r="AM9" i="2"/>
  <c r="G9" i="2"/>
  <c r="O9" i="2"/>
  <c r="V9" i="2"/>
  <c r="AD9" i="2"/>
  <c r="W9" i="2"/>
  <c r="F9" i="2"/>
  <c r="N9" i="2"/>
  <c r="M3" i="11" l="1"/>
  <c r="M7" i="11" s="1"/>
  <c r="I7" i="11"/>
  <c r="AG8" i="8"/>
  <c r="AE8" i="8"/>
  <c r="Z8" i="8"/>
  <c r="X8" i="8"/>
  <c r="S8" i="8"/>
  <c r="Q8" i="8"/>
  <c r="L8" i="8"/>
  <c r="J8" i="8"/>
  <c r="E8" i="8"/>
  <c r="C8" i="8"/>
  <c r="AG6" i="8"/>
  <c r="AE6" i="8"/>
  <c r="Z6" i="8"/>
  <c r="X6" i="8"/>
  <c r="S6" i="8"/>
  <c r="Q6" i="8"/>
  <c r="L6" i="8"/>
  <c r="J6" i="8"/>
  <c r="E6" i="8"/>
  <c r="C6" i="8"/>
  <c r="AG5" i="8"/>
  <c r="AE5" i="8"/>
  <c r="Z5" i="8"/>
  <c r="X5" i="8"/>
  <c r="S5" i="8"/>
  <c r="Q5" i="8"/>
  <c r="L5" i="8"/>
  <c r="J5" i="8"/>
  <c r="E5" i="8"/>
  <c r="C5" i="8"/>
  <c r="AG4" i="8"/>
  <c r="AE4" i="8"/>
  <c r="Z4" i="8"/>
  <c r="X4" i="8"/>
  <c r="S4" i="8"/>
  <c r="Q4" i="8"/>
  <c r="L4" i="8"/>
  <c r="J4" i="8"/>
  <c r="X3" i="8"/>
  <c r="AE3" i="8" s="1"/>
  <c r="Z3" i="8"/>
  <c r="AG3" i="8" s="1"/>
  <c r="T7" i="8"/>
  <c r="AA7" i="8"/>
  <c r="AH7" i="8"/>
  <c r="M7" i="8"/>
  <c r="E4" i="8"/>
  <c r="C4" i="8"/>
  <c r="Q3" i="11" l="1"/>
  <c r="Q7" i="11" s="1"/>
  <c r="AE9" i="8"/>
  <c r="T8" i="8"/>
  <c r="AG9" i="8"/>
  <c r="M8" i="8"/>
  <c r="AA8" i="8"/>
  <c r="AA5" i="8"/>
  <c r="AA4" i="8"/>
  <c r="AH8" i="8"/>
  <c r="J9" i="8"/>
  <c r="Q9" i="8"/>
  <c r="L9" i="8"/>
  <c r="M9" i="8" s="1"/>
  <c r="C9" i="8"/>
  <c r="E9" i="8"/>
  <c r="S9" i="8"/>
  <c r="M5" i="8"/>
  <c r="X9" i="8"/>
  <c r="AH5" i="8"/>
  <c r="AA6" i="8"/>
  <c r="T5" i="8"/>
  <c r="M4" i="8"/>
  <c r="Z9" i="8"/>
  <c r="AH6" i="8"/>
  <c r="T6" i="8"/>
  <c r="M6" i="8"/>
  <c r="AH4" i="8"/>
  <c r="T4" i="8"/>
  <c r="AH9" i="8" l="1"/>
  <c r="AA9" i="8"/>
  <c r="T9" i="8"/>
  <c r="F6" i="8" l="1"/>
  <c r="F5" i="8"/>
  <c r="F4" i="8"/>
  <c r="F9" i="8"/>
  <c r="F8" i="8"/>
  <c r="F7" i="8"/>
  <c r="AH24" i="6" l="1"/>
  <c r="AH22" i="6"/>
  <c r="AH21" i="6"/>
  <c r="AH20" i="6"/>
  <c r="AH19" i="6"/>
  <c r="AA26" i="6"/>
  <c r="AA24" i="6"/>
  <c r="AA22" i="6"/>
  <c r="AA21" i="6"/>
  <c r="AA20" i="6"/>
  <c r="AA19" i="6"/>
  <c r="T26" i="6"/>
  <c r="T24" i="6"/>
  <c r="T22" i="6"/>
  <c r="T21" i="6"/>
  <c r="T20" i="6"/>
  <c r="T19" i="6"/>
  <c r="M26" i="6"/>
  <c r="M24" i="6"/>
  <c r="M22" i="6"/>
  <c r="M21" i="6"/>
  <c r="M20" i="6"/>
  <c r="M19" i="6"/>
  <c r="F26" i="6"/>
  <c r="F24" i="6"/>
  <c r="F21" i="6"/>
  <c r="F20" i="6"/>
  <c r="AG5" i="6"/>
  <c r="AE5" i="6"/>
  <c r="Z5" i="6"/>
  <c r="X5" i="6"/>
  <c r="S5" i="6"/>
  <c r="Q5" i="6"/>
  <c r="L5" i="6"/>
  <c r="J5" i="6"/>
  <c r="E5" i="6"/>
  <c r="AG4" i="6" l="1"/>
  <c r="AE4" i="6"/>
  <c r="Z4" i="6"/>
  <c r="X4" i="6"/>
  <c r="S4" i="6"/>
  <c r="Q4" i="6"/>
  <c r="L4" i="6"/>
  <c r="J4" i="6"/>
  <c r="E4" i="6"/>
  <c r="AG7" i="6"/>
  <c r="AE7" i="6"/>
  <c r="AG6" i="6"/>
  <c r="AE6" i="6"/>
  <c r="Z7" i="6"/>
  <c r="X7" i="6"/>
  <c r="Z6" i="6"/>
  <c r="X6" i="6"/>
  <c r="S7" i="6"/>
  <c r="Q7" i="6"/>
  <c r="S6" i="6"/>
  <c r="Q6" i="6"/>
  <c r="L7" i="6"/>
  <c r="J7" i="6"/>
  <c r="L6" i="6"/>
  <c r="J6" i="6"/>
  <c r="E7" i="6"/>
  <c r="E6" i="6"/>
  <c r="E8" i="6" s="1"/>
  <c r="G2" i="4"/>
  <c r="M2" i="4" s="1"/>
  <c r="S2" i="4" s="1"/>
  <c r="Y2" i="4" s="1"/>
  <c r="L3" i="2"/>
  <c r="T3" i="2" s="1"/>
  <c r="AB3" i="2" s="1"/>
  <c r="AJ3" i="2" s="1"/>
  <c r="M3" i="2"/>
  <c r="U3" i="2" s="1"/>
  <c r="AC3" i="2" s="1"/>
  <c r="AK3" i="2" s="1"/>
  <c r="K3" i="2"/>
  <c r="S3" i="2" s="1"/>
  <c r="AA3" i="2" s="1"/>
  <c r="AI3" i="2" s="1"/>
  <c r="S8" i="6" l="1"/>
  <c r="AG8" i="6"/>
  <c r="Q8" i="6"/>
  <c r="AE8" i="6"/>
  <c r="Z8" i="6"/>
  <c r="X8" i="6"/>
  <c r="L8" i="6"/>
  <c r="J8" i="6"/>
  <c r="F4" i="6"/>
  <c r="G4" i="2" l="1"/>
  <c r="F4" i="2"/>
  <c r="F2" i="9"/>
  <c r="K2" i="9" s="1"/>
  <c r="P2" i="9" s="1"/>
  <c r="U2" i="9" s="1"/>
  <c r="S14" i="9"/>
  <c r="R14" i="9"/>
  <c r="N14" i="9"/>
  <c r="M14" i="9"/>
  <c r="D14" i="9"/>
  <c r="C14" i="9"/>
  <c r="R13" i="9"/>
  <c r="M13" i="9"/>
  <c r="C13" i="9"/>
  <c r="X14" i="9"/>
  <c r="W14" i="9"/>
  <c r="I14" i="9"/>
  <c r="H14" i="9"/>
  <c r="W13" i="9"/>
  <c r="H13" i="9"/>
  <c r="C18" i="9" l="1"/>
  <c r="W15" i="9"/>
  <c r="X15" i="9" s="1"/>
  <c r="H15" i="9"/>
  <c r="I15" i="9" s="1"/>
  <c r="C15" i="9"/>
  <c r="D15" i="9" s="1"/>
  <c r="M15" i="9"/>
  <c r="N15" i="9" s="1"/>
  <c r="R15" i="9"/>
  <c r="S15" i="9" s="1"/>
  <c r="L3" i="6" l="1"/>
  <c r="S3" i="6" s="1"/>
  <c r="Z3" i="6" s="1"/>
  <c r="AG3" i="6" s="1"/>
  <c r="J3" i="6"/>
  <c r="Q3" i="6" s="1"/>
  <c r="X3" i="6" s="1"/>
  <c r="AE3" i="6" s="1"/>
  <c r="T9" i="6"/>
  <c r="AH9" i="6"/>
  <c r="AH8" i="6"/>
  <c r="AH7" i="6"/>
  <c r="AH6" i="6"/>
  <c r="AH5" i="6"/>
  <c r="AH4" i="6"/>
  <c r="T8" i="6" l="1"/>
  <c r="T7" i="6"/>
  <c r="T6" i="6"/>
  <c r="T5" i="6"/>
  <c r="T4" i="6"/>
  <c r="F8" i="6"/>
  <c r="F9" i="6"/>
  <c r="F7" i="6"/>
  <c r="F5" i="6"/>
  <c r="F6" i="6"/>
  <c r="U2" i="3"/>
  <c r="P2" i="3"/>
  <c r="K2" i="3"/>
  <c r="F2" i="3"/>
  <c r="T10" i="2" l="1"/>
  <c r="U10" i="2"/>
  <c r="D10" i="2"/>
  <c r="K10" i="2"/>
  <c r="AB10" i="2"/>
  <c r="S10" i="2"/>
  <c r="E10" i="2"/>
  <c r="L10" i="2"/>
  <c r="AA10" i="2"/>
  <c r="AC10" i="2"/>
  <c r="C10" i="2"/>
  <c r="M10" i="2"/>
  <c r="F10" i="2" l="1"/>
  <c r="G10" i="2"/>
  <c r="W10" i="2"/>
  <c r="AA7" i="6" l="1"/>
  <c r="AA9" i="6"/>
  <c r="AA8" i="6"/>
  <c r="AA6" i="6"/>
  <c r="AA5" i="6"/>
  <c r="AA4" i="6"/>
  <c r="M9" i="6" l="1"/>
  <c r="M8" i="6"/>
  <c r="M7" i="6"/>
  <c r="M5" i="6"/>
  <c r="M4" i="6"/>
  <c r="M6" i="6" l="1"/>
  <c r="AM5" i="2" l="1"/>
  <c r="V5" i="2"/>
  <c r="AM4" i="2"/>
  <c r="N4" i="2"/>
  <c r="W6" i="2" l="1"/>
  <c r="O4" i="2"/>
  <c r="N7" i="2"/>
  <c r="W4" i="2"/>
  <c r="AE4" i="2"/>
  <c r="AD5" i="2"/>
  <c r="V4" i="2"/>
  <c r="AD4" i="2"/>
  <c r="O7" i="2"/>
  <c r="AD7" i="2"/>
  <c r="AL6" i="2"/>
  <c r="AI10" i="2"/>
  <c r="AJ10" i="2"/>
  <c r="V6" i="2"/>
  <c r="AK10" i="2"/>
  <c r="AE7" i="2"/>
  <c r="W7" i="2"/>
  <c r="V7" i="2"/>
  <c r="AM6" i="2"/>
  <c r="AE6" i="2"/>
  <c r="AD6" i="2"/>
  <c r="N6" i="2"/>
  <c r="O6" i="2"/>
  <c r="AL5" i="2"/>
  <c r="AE5" i="2"/>
  <c r="W5" i="2"/>
  <c r="N5" i="2"/>
  <c r="O5" i="2"/>
  <c r="AF14" i="2" l="1"/>
  <c r="AM10" i="2"/>
  <c r="AD10" i="2"/>
  <c r="N10" i="2"/>
  <c r="V10" i="2"/>
  <c r="AE10" i="2"/>
  <c r="AL10" i="2"/>
  <c r="O10" i="2"/>
  <c r="G6" i="2" l="1"/>
  <c r="F6" i="2"/>
  <c r="C7" i="1" l="1"/>
  <c r="B7" i="1"/>
  <c r="B14" i="1" s="1"/>
  <c r="D7" i="1" l="1"/>
  <c r="X7" i="1"/>
  <c r="S7" i="1"/>
  <c r="I7" i="1"/>
  <c r="N7" i="1"/>
  <c r="H7" i="1" l="1"/>
  <c r="G7" i="1"/>
  <c r="R7" i="1"/>
  <c r="Q7" i="1"/>
  <c r="M7" i="1"/>
  <c r="L7" i="1"/>
  <c r="W7" i="1"/>
  <c r="V7" i="1"/>
  <c r="L14" i="1" l="1"/>
  <c r="Q14" i="1"/>
  <c r="G14" i="1"/>
  <c r="V1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Ahmad Hanif Abdul Rahman (PCS)</author>
  </authors>
  <commentList>
    <comment ref="A9" authorId="0" shapeId="0" xr:uid="{504A6156-1A27-4906-82F5-EDFCE6675807}">
      <text>
        <r>
          <rPr>
            <b/>
            <sz val="9"/>
            <color indexed="81"/>
            <rFont val="Tahoma"/>
            <family val="2"/>
          </rPr>
          <t>Ahmad Hanif Abdul Rahman (PCS):</t>
        </r>
        <r>
          <rPr>
            <sz val="9"/>
            <color indexed="81"/>
            <rFont val="Tahoma"/>
            <family val="2"/>
          </rPr>
          <t xml:space="preserve">
isi data manual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Ahmad Hanif Abdul Rahman (PCS)</author>
  </authors>
  <commentList>
    <comment ref="A8" authorId="0" shapeId="0" xr:uid="{20DA44FD-6993-4263-90EC-123D961666FA}">
      <text>
        <r>
          <rPr>
            <b/>
            <sz val="9"/>
            <color indexed="81"/>
            <rFont val="Tahoma"/>
            <family val="2"/>
          </rPr>
          <t>Ahmad Hanif Abdul Rahman (PCS):</t>
        </r>
        <r>
          <rPr>
            <sz val="9"/>
            <color indexed="81"/>
            <rFont val="Tahoma"/>
            <family val="2"/>
          </rPr>
          <t xml:space="preserve">
isi data manual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<sst xmlns="http://schemas.openxmlformats.org/spreadsheetml/2006/main" count="844" uniqueCount="127">
  <si>
    <t>Industri</t>
  </si>
  <si>
    <t>Rp Miliar</t>
  </si>
  <si>
    <t>Ytd</t>
  </si>
  <si>
    <t>YoY</t>
  </si>
  <si>
    <t>NPF</t>
  </si>
  <si>
    <t>-</t>
  </si>
  <si>
    <t>Aset</t>
  </si>
  <si>
    <t>DPK</t>
  </si>
  <si>
    <t>Kredit</t>
  </si>
  <si>
    <t>NPL</t>
  </si>
  <si>
    <t>LaR</t>
  </si>
  <si>
    <t>LDR</t>
  </si>
  <si>
    <t>Share</t>
  </si>
  <si>
    <t>Jenis Guna</t>
  </si>
  <si>
    <t>No</t>
  </si>
  <si>
    <t>Modal Kerja</t>
  </si>
  <si>
    <t>Investasi</t>
  </si>
  <si>
    <t>Konsumsi</t>
  </si>
  <si>
    <t>Korporasi</t>
  </si>
  <si>
    <t>Konsumtif</t>
  </si>
  <si>
    <t>UMKM</t>
  </si>
  <si>
    <t>Skala</t>
  </si>
  <si>
    <t>CAR</t>
  </si>
  <si>
    <t>Total Pembiayaan</t>
  </si>
  <si>
    <t>Instrumen</t>
  </si>
  <si>
    <t>SID (Ribu)</t>
  </si>
  <si>
    <t>Total</t>
  </si>
  <si>
    <t>Saham</t>
  </si>
  <si>
    <t>SBN</t>
  </si>
  <si>
    <t>Reksadana</t>
  </si>
  <si>
    <t>Lap. Usaha</t>
  </si>
  <si>
    <t>Asuransi Jiwa</t>
  </si>
  <si>
    <t>Premi</t>
  </si>
  <si>
    <t>Klaim</t>
  </si>
  <si>
    <t>Asuransi Umum</t>
  </si>
  <si>
    <t>Individu</t>
  </si>
  <si>
    <t>Institusi</t>
  </si>
  <si>
    <t>Jenis</t>
  </si>
  <si>
    <t>Kep. Saham (Rp Miliar)</t>
  </si>
  <si>
    <t>SUMUT</t>
  </si>
  <si>
    <t>ACEH</t>
  </si>
  <si>
    <t>RIAU</t>
  </si>
  <si>
    <t>SUMBAR</t>
  </si>
  <si>
    <t>KEPRI</t>
  </si>
  <si>
    <t>BPD ACEH</t>
  </si>
  <si>
    <t>BANK RIAU KEPRI</t>
  </si>
  <si>
    <t>BANK NAGARI</t>
  </si>
  <si>
    <t xml:space="preserve"> </t>
  </si>
  <si>
    <t>Total Investasi Dapen</t>
  </si>
  <si>
    <t>Bank Sumut</t>
  </si>
  <si>
    <t>Bank Mestika</t>
  </si>
  <si>
    <t>N/A</t>
  </si>
  <si>
    <t>Penjualan</t>
  </si>
  <si>
    <t>Pembelian</t>
  </si>
  <si>
    <t>Jual/Beli Saham</t>
  </si>
  <si>
    <t>Nilai (Miliar)</t>
  </si>
  <si>
    <t>Total Outstd Penjaminan</t>
  </si>
  <si>
    <t>N/a</t>
  </si>
  <si>
    <t>pake tabel bawah ini kalo cognos masih salah</t>
  </si>
  <si>
    <t>sumut</t>
  </si>
  <si>
    <t>aceh</t>
  </si>
  <si>
    <t>riau</t>
  </si>
  <si>
    <t>sumbar</t>
  </si>
  <si>
    <t>kepri</t>
  </si>
  <si>
    <t>checker sid</t>
  </si>
  <si>
    <t>AL/DPK</t>
  </si>
  <si>
    <t>AL/NCD</t>
  </si>
  <si>
    <t>Modal Inti</t>
  </si>
  <si>
    <t>Total Modal</t>
  </si>
  <si>
    <t>ATMR</t>
  </si>
  <si>
    <t>Modal</t>
  </si>
  <si>
    <t>Sumut</t>
  </si>
  <si>
    <t>Aceh</t>
  </si>
  <si>
    <t>Riau</t>
  </si>
  <si>
    <t>Sumbar</t>
  </si>
  <si>
    <t>Kepri</t>
  </si>
  <si>
    <t xml:space="preserve">   </t>
  </si>
  <si>
    <t>Bsumut</t>
  </si>
  <si>
    <t>BPD Aceh</t>
  </si>
  <si>
    <t>Bank Riau Kepri</t>
  </si>
  <si>
    <t>Bank Nagari</t>
  </si>
  <si>
    <t>LAR</t>
  </si>
  <si>
    <t>Provinsi</t>
  </si>
  <si>
    <t>MtM (Mei 2026)</t>
  </si>
  <si>
    <t>MtM (April 2026)</t>
  </si>
  <si>
    <t>Sumatera Utara</t>
  </si>
  <si>
    <t>Sumatera Barat</t>
  </si>
  <si>
    <t>Kepulauan Riau</t>
  </si>
  <si>
    <t>CtC</t>
  </si>
  <si>
    <t xml:space="preserve">YoY </t>
  </si>
  <si>
    <t xml:space="preserve">MtM </t>
  </si>
  <si>
    <t>Inflasi Juni 2026</t>
  </si>
  <si>
    <t xml:space="preserve"> CAR BUD SUMBAGUT YOY (Rp Miliar)</t>
  </si>
  <si>
    <t>Jumlah BPR/S</t>
  </si>
  <si>
    <t>CAR&gt;12%</t>
  </si>
  <si>
    <t>KOMN</t>
  </si>
  <si>
    <t>KOAC</t>
  </si>
  <si>
    <t>KOPB</t>
  </si>
  <si>
    <t>KOPD</t>
  </si>
  <si>
    <t>KOBT</t>
  </si>
  <si>
    <t>MIM Terpenuhi</t>
  </si>
  <si>
    <t>NPL Gross</t>
  </si>
  <si>
    <t>NPL Net</t>
  </si>
  <si>
    <t>Industri Pengolahan</t>
  </si>
  <si>
    <t>Pertanian</t>
  </si>
  <si>
    <t>Konstruksi</t>
  </si>
  <si>
    <t>Pengadaan Listrik</t>
  </si>
  <si>
    <t>total kredit</t>
  </si>
  <si>
    <t>NPL Nett</t>
  </si>
  <si>
    <t>Pergadaian Swasta (Q2-2026)</t>
  </si>
  <si>
    <t>Fintech (Jun)</t>
  </si>
  <si>
    <t>[Seri 2010] PDRB Triwulanan Atas Dasar Harga Berlaku Menurut Lapangan Usaha di Provinsi Seluruh Indonesia (Milyar Rupiah)</t>
  </si>
  <si>
    <t>Produk Domestik Regional Bruto</t>
  </si>
  <si>
    <t>Q1 2025</t>
  </si>
  <si>
    <t>Q2 2025</t>
  </si>
  <si>
    <t>Q3 2025</t>
  </si>
  <si>
    <t>Q4 2025</t>
  </si>
  <si>
    <t>Q1 2026</t>
  </si>
  <si>
    <t>Q2 2026</t>
  </si>
  <si>
    <t>Kep. Riau</t>
  </si>
  <si>
    <t>tabel di bawah ini dipake selama cognos BPR masih selisih</t>
  </si>
  <si>
    <t>Perusahaan pembiayaan (Juni)</t>
  </si>
  <si>
    <t>Modal Ventura (Juni)</t>
  </si>
  <si>
    <t>LKM (Juli)</t>
  </si>
  <si>
    <t>Perdagangan</t>
  </si>
  <si>
    <t>CAR BPR/S Sumbagut</t>
  </si>
  <si>
    <t>totkred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</si>
</sst>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1" formatCode="_-* #,##0_-;\-* #,##0_-;_-* &quot;-&quot;_-;_-@_-"/>
    <numFmt numFmtId="43" formatCode="_-* #,##0.00_-;\-* #,##0.00_-;_-* &quot;-&quot;??_-;_-@_-"/>
    <numFmt numFmtId="164" formatCode="mmm\-yyyy"/>
    <numFmt numFmtId="165" formatCode="_-* #,##0.0_-;\-* #,##0.0_-;_-* &quot;-&quot;_-;_-@_-"/>
    <numFmt numFmtId="166" formatCode="_-* #,##0.00000_-;\-* #,##0.00000_-;_-* &quot;-&quot;_-;_-@_-"/>
    <numFmt numFmtId="167" formatCode="_-* #,##0_-;\-* #,##0_-;_-* &quot;-&quot;??_-;_-@_-"/>
    <numFmt numFmtId="168" formatCode="0.0"/>
    <numFmt numFmtId="169" formatCode="_-* #,##0.0_-;\-* #,##0.0_-;_-* &quot;-&quot;??_-;_-@_-"/>
    <numFmt numFmtId="170" formatCode="#,##0\ ;\-#,##0\ ;&quot; - &quot;;@\ "/>
    <numFmt numFmtId="171" formatCode="[$-421]General"/>
    <numFmt numFmtId="172" formatCode="#,##0&quot; &quot;;&quot; (&quot;#,##0&quot;)&quot;;&quot; - &quot;;@&quot; &quot;"/>
    <numFmt numFmtId="173" formatCode="#,##0.00&quot; &quot;;&quot; (&quot;#,##0.00&quot;)&quot;;&quot; -&quot;#&quot; &quot;;@&quot; &quot;"/>
    <numFmt numFmtId="174" formatCode="[$Rp-421]#,##0.00;[Red]&quot;(&quot;[$Rp-421]#,##0.00&quot;)&quot;"/>
    <numFmt numFmtId="175" formatCode="_-* #,##0.0_-;\-* #,##0.0_-;_-* &quot;-&quot;?_-;_-@_-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 Narrow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0"/>
      <name val="Arial Narrow"/>
      <family val="2"/>
    </font>
    <font>
      <b/>
      <sz val="11"/>
      <color theme="1"/>
      <name val="Arial Narrow"/>
      <family val="2"/>
    </font>
    <font>
      <sz val="10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Arial Narrow"/>
      <family val="2"/>
    </font>
    <font>
      <sz val="11"/>
      <color rgb="FF000000"/>
      <name val="Arial Narrow"/>
      <family val="2"/>
    </font>
    <font>
      <sz val="11"/>
      <color theme="2" tint="-0.249977111117893"/>
      <name val="Arial Narrow"/>
      <family val="2"/>
    </font>
    <font>
      <sz val="12"/>
      <color theme="1"/>
      <name val="Segoe UI"/>
      <family val="2"/>
    </font>
    <font>
      <sz val="11"/>
      <color theme="0"/>
      <name val="Arial Narrow"/>
      <family val="2"/>
    </font>
    <font>
      <sz val="11"/>
      <color rgb="FF000000"/>
      <name val="Calibri"/>
      <family val="2"/>
    </font>
    <font>
      <sz val="10"/>
      <name val="Arial"/>
      <family val="2"/>
    </font>
    <font>
      <sz val="10"/>
      <name val="Mangal"/>
      <family val="2"/>
    </font>
    <font>
      <sz val="11"/>
      <color theme="1"/>
      <name val="Arial"/>
      <family val="2"/>
    </font>
    <font>
      <b/>
      <i/>
      <sz val="16"/>
      <color theme="1"/>
      <name val="Arial"/>
      <family val="2"/>
    </font>
    <font>
      <b/>
      <i/>
      <u/>
      <sz val="11"/>
      <color theme="1"/>
      <name val="Arial"/>
      <family val="2"/>
    </font>
    <font>
      <sz val="11"/>
      <color indexed="8"/>
      <name val="Arial"/>
      <family val="2"/>
    </font>
    <font>
      <b/>
      <sz val="11"/>
      <color theme="0"/>
      <name val="Calibri"/>
      <family val="2"/>
      <scheme val="minor"/>
    </font>
    <font>
      <b/>
      <sz val="10"/>
      <color rgb="FFFFFFFF"/>
      <name val="Arial Narrow"/>
      <family val="2"/>
    </font>
    <font>
      <sz val="10"/>
      <color theme="1"/>
      <name val="Arial Narrow"/>
      <family val="2"/>
    </font>
    <font>
      <b/>
      <sz val="10"/>
      <color theme="0"/>
      <name val="Arial Narrow"/>
      <family val="2"/>
    </font>
    <font>
      <b/>
      <sz val="14"/>
      <color theme="0"/>
      <name val="Arial Narrow"/>
      <family val="2"/>
    </font>
    <font>
      <sz val="14"/>
      <color theme="1"/>
      <name val="Arial Narrow"/>
      <family val="2"/>
    </font>
    <font>
      <sz val="12"/>
      <color theme="1"/>
      <name val="Arial Narrow"/>
      <family val="2"/>
    </font>
    <font>
      <b/>
      <sz val="12"/>
      <color theme="1"/>
      <name val="Arial Narrow"/>
      <family val="2"/>
    </font>
  </fonts>
  <fills count="1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74">
    <xf numFmtId="0" fontId="0" fillId="0" borderId="0"/>
    <xf numFmtId="9" fontId="1" fillId="0" borderId="0" applyFont="0" applyFill="0" applyBorder="0" applyAlignment="0" applyProtection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7" fillId="0" borderId="0"/>
    <xf numFmtId="41" fontId="7" fillId="0" borderId="0" applyFont="0" applyFill="0" applyBorder="0" applyAlignment="0" applyProtection="0"/>
    <xf numFmtId="0" fontId="1" fillId="0" borderId="0"/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1" fontId="1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8" fillId="0" borderId="0"/>
    <xf numFmtId="41" fontId="8" fillId="0" borderId="0" applyFont="0" applyFill="0" applyBorder="0" applyAlignment="0" applyProtection="0"/>
    <xf numFmtId="0" fontId="1" fillId="0" borderId="0"/>
    <xf numFmtId="0" fontId="1" fillId="0" borderId="0"/>
    <xf numFmtId="41" fontId="1" fillId="0" borderId="0" applyFont="0" applyFill="0" applyBorder="0" applyAlignment="0" applyProtection="0"/>
    <xf numFmtId="41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" fillId="0" borderId="0"/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7" fillId="0" borderId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7" fillId="0" borderId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7" fillId="0" borderId="0"/>
    <xf numFmtId="41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1" fontId="1" fillId="0" borderId="0" applyFont="0" applyFill="0" applyBorder="0" applyAlignment="0" applyProtection="0"/>
    <xf numFmtId="9" fontId="17" fillId="0" borderId="0" applyFont="0" applyFill="0" applyBorder="0" applyAlignment="0" applyProtection="0"/>
    <xf numFmtId="170" fontId="18" fillId="0" borderId="0" applyFill="0" applyBorder="0" applyAlignment="0" applyProtection="0"/>
    <xf numFmtId="0" fontId="19" fillId="0" borderId="0"/>
    <xf numFmtId="172" fontId="16" fillId="0" borderId="0"/>
    <xf numFmtId="173" fontId="16" fillId="0" borderId="0"/>
    <xf numFmtId="171" fontId="16" fillId="0" borderId="0"/>
    <xf numFmtId="0" fontId="20" fillId="0" borderId="0">
      <alignment horizontal="center"/>
    </xf>
    <xf numFmtId="0" fontId="20" fillId="0" borderId="0">
      <alignment horizontal="center" textRotation="90"/>
    </xf>
    <xf numFmtId="171" fontId="16" fillId="0" borderId="0"/>
    <xf numFmtId="0" fontId="21" fillId="0" borderId="0"/>
    <xf numFmtId="174" fontId="21" fillId="0" borderId="0"/>
    <xf numFmtId="0" fontId="17" fillId="0" borderId="0"/>
    <xf numFmtId="0" fontId="22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7" fillId="0" borderId="0"/>
  </cellStyleXfs>
  <cellXfs count="190">
    <xf numFmtId="0" fontId="0" fillId="0" borderId="0" xfId="0"/>
    <xf numFmtId="0" fontId="2" fillId="0" borderId="1" xfId="0" applyFont="1" applyBorder="1"/>
    <xf numFmtId="10" fontId="2" fillId="0" borderId="1" xfId="0" applyNumberFormat="1" applyFont="1" applyBorder="1"/>
    <xf numFmtId="41" fontId="2" fillId="0" borderId="1" xfId="0" applyNumberFormat="1" applyFont="1" applyBorder="1"/>
    <xf numFmtId="10" fontId="2" fillId="0" borderId="1" xfId="1" applyNumberFormat="1" applyFont="1" applyBorder="1"/>
    <xf numFmtId="165" fontId="6" fillId="4" borderId="1" xfId="0" applyNumberFormat="1" applyFont="1" applyFill="1" applyBorder="1" applyAlignment="1">
      <alignment horizontal="center" vertical="center"/>
    </xf>
    <xf numFmtId="10" fontId="6" fillId="4" borderId="1" xfId="0" applyNumberFormat="1" applyFont="1" applyFill="1" applyBorder="1" applyAlignment="1">
      <alignment horizontal="center" vertical="center"/>
    </xf>
    <xf numFmtId="165" fontId="2" fillId="0" borderId="1" xfId="0" applyNumberFormat="1" applyFont="1" applyBorder="1" applyAlignment="1">
      <alignment horizontal="center" vertical="center"/>
    </xf>
    <xf numFmtId="0" fontId="5" fillId="5" borderId="1" xfId="0" applyFont="1" applyFill="1" applyBorder="1" applyAlignment="1">
      <alignment vertical="center"/>
    </xf>
    <xf numFmtId="164" fontId="5" fillId="5" borderId="1" xfId="0" applyNumberFormat="1" applyFont="1" applyFill="1" applyBorder="1" applyAlignment="1">
      <alignment horizontal="center" vertical="center"/>
    </xf>
    <xf numFmtId="17" fontId="5" fillId="6" borderId="1" xfId="0" applyNumberFormat="1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 wrapText="1"/>
    </xf>
    <xf numFmtId="10" fontId="2" fillId="0" borderId="1" xfId="0" applyNumberFormat="1" applyFont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/>
    </xf>
    <xf numFmtId="0" fontId="2" fillId="0" borderId="0" xfId="0" applyFont="1"/>
    <xf numFmtId="0" fontId="2" fillId="0" borderId="5" xfId="0" applyFont="1" applyBorder="1"/>
    <xf numFmtId="0" fontId="2" fillId="0" borderId="0" xfId="0" applyFont="1" applyAlignment="1">
      <alignment horizontal="right"/>
    </xf>
    <xf numFmtId="10" fontId="2" fillId="0" borderId="0" xfId="1" applyNumberFormat="1" applyFont="1"/>
    <xf numFmtId="41" fontId="2" fillId="0" borderId="0" xfId="0" applyNumberFormat="1" applyFont="1"/>
    <xf numFmtId="0" fontId="2" fillId="0" borderId="0" xfId="0" applyFont="1" applyAlignment="1">
      <alignment horizontal="left"/>
    </xf>
    <xf numFmtId="0" fontId="5" fillId="7" borderId="1" xfId="0" applyFont="1" applyFill="1" applyBorder="1" applyAlignment="1">
      <alignment horizontal="left"/>
    </xf>
    <xf numFmtId="0" fontId="5" fillId="7" borderId="1" xfId="0" applyFont="1" applyFill="1" applyBorder="1" applyAlignment="1">
      <alignment horizontal="center"/>
    </xf>
    <xf numFmtId="167" fontId="2" fillId="0" borderId="0" xfId="32" applyNumberFormat="1" applyFont="1"/>
    <xf numFmtId="0" fontId="6" fillId="0" borderId="0" xfId="0" applyFont="1"/>
    <xf numFmtId="10" fontId="11" fillId="0" borderId="1" xfId="2" applyNumberFormat="1" applyFont="1" applyFill="1" applyBorder="1"/>
    <xf numFmtId="1" fontId="11" fillId="0" borderId="1" xfId="3" applyNumberFormat="1" applyFont="1" applyFill="1" applyBorder="1"/>
    <xf numFmtId="41" fontId="11" fillId="0" borderId="1" xfId="2" applyNumberFormat="1" applyFont="1" applyFill="1" applyBorder="1"/>
    <xf numFmtId="41" fontId="11" fillId="0" borderId="1" xfId="3" applyNumberFormat="1" applyFont="1" applyFill="1" applyBorder="1"/>
    <xf numFmtId="0" fontId="5" fillId="6" borderId="3" xfId="0" applyFont="1" applyFill="1" applyBorder="1" applyAlignment="1">
      <alignment horizontal="center" vertical="center"/>
    </xf>
    <xf numFmtId="41" fontId="2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5" fillId="6" borderId="1" xfId="0" applyFont="1" applyFill="1" applyBorder="1" applyAlignment="1">
      <alignment horizontal="center" vertical="center"/>
    </xf>
    <xf numFmtId="165" fontId="2" fillId="0" borderId="1" xfId="0" applyNumberFormat="1" applyFont="1" applyBorder="1" applyAlignment="1">
      <alignment horizontal="center" vertical="top"/>
    </xf>
    <xf numFmtId="0" fontId="13" fillId="0" borderId="0" xfId="0" applyFont="1"/>
    <xf numFmtId="43" fontId="2" fillId="0" borderId="0" xfId="0" applyNumberFormat="1" applyFont="1" applyAlignment="1">
      <alignment horizontal="right"/>
    </xf>
    <xf numFmtId="0" fontId="2" fillId="0" borderId="13" xfId="0" applyFont="1" applyBorder="1" applyAlignment="1">
      <alignment horizontal="left"/>
    </xf>
    <xf numFmtId="10" fontId="2" fillId="0" borderId="14" xfId="0" applyNumberFormat="1" applyFont="1" applyBorder="1" applyAlignment="1">
      <alignment horizontal="center" vertical="center"/>
    </xf>
    <xf numFmtId="0" fontId="2" fillId="0" borderId="29" xfId="0" applyFont="1" applyBorder="1" applyAlignment="1">
      <alignment horizontal="left"/>
    </xf>
    <xf numFmtId="165" fontId="2" fillId="0" borderId="30" xfId="0" applyNumberFormat="1" applyFont="1" applyBorder="1" applyAlignment="1">
      <alignment horizontal="center" vertical="center"/>
    </xf>
    <xf numFmtId="10" fontId="11" fillId="0" borderId="30" xfId="2" applyNumberFormat="1" applyFont="1" applyFill="1" applyBorder="1"/>
    <xf numFmtId="0" fontId="2" fillId="0" borderId="31" xfId="0" quotePrefix="1" applyFont="1" applyBorder="1" applyAlignment="1">
      <alignment horizontal="center" vertical="center"/>
    </xf>
    <xf numFmtId="165" fontId="2" fillId="0" borderId="14" xfId="0" applyNumberFormat="1" applyFont="1" applyBorder="1" applyAlignment="1">
      <alignment horizontal="center" vertical="top"/>
    </xf>
    <xf numFmtId="165" fontId="2" fillId="0" borderId="30" xfId="0" applyNumberFormat="1" applyFont="1" applyBorder="1" applyAlignment="1">
      <alignment horizontal="center" vertical="top"/>
    </xf>
    <xf numFmtId="0" fontId="2" fillId="0" borderId="31" xfId="0" quotePrefix="1" applyFont="1" applyBorder="1" applyAlignment="1">
      <alignment horizontal="center" vertical="top"/>
    </xf>
    <xf numFmtId="0" fontId="2" fillId="0" borderId="31" xfId="0" quotePrefix="1" applyFont="1" applyBorder="1" applyAlignment="1">
      <alignment horizontal="center"/>
    </xf>
    <xf numFmtId="0" fontId="5" fillId="5" borderId="3" xfId="0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 vertical="center"/>
    </xf>
    <xf numFmtId="0" fontId="2" fillId="0" borderId="1" xfId="0" applyFont="1" applyBorder="1" applyAlignment="1">
      <alignment wrapText="1"/>
    </xf>
    <xf numFmtId="0" fontId="0" fillId="0" borderId="0" xfId="0" applyAlignment="1">
      <alignment wrapText="1"/>
    </xf>
    <xf numFmtId="167" fontId="2" fillId="0" borderId="1" xfId="42" applyNumberFormat="1" applyFont="1" applyBorder="1"/>
    <xf numFmtId="167" fontId="2" fillId="0" borderId="1" xfId="42" applyNumberFormat="1" applyFont="1" applyBorder="1" applyAlignment="1">
      <alignment wrapText="1"/>
    </xf>
    <xf numFmtId="10" fontId="11" fillId="0" borderId="1" xfId="1" applyNumberFormat="1" applyFont="1" applyFill="1" applyBorder="1" applyAlignment="1">
      <alignment wrapText="1"/>
    </xf>
    <xf numFmtId="10" fontId="11" fillId="0" borderId="1" xfId="1" applyNumberFormat="1" applyFont="1" applyFill="1" applyBorder="1"/>
    <xf numFmtId="167" fontId="2" fillId="0" borderId="1" xfId="1" applyNumberFormat="1" applyFont="1" applyBorder="1"/>
    <xf numFmtId="0" fontId="2" fillId="0" borderId="13" xfId="0" applyFont="1" applyBorder="1"/>
    <xf numFmtId="0" fontId="2" fillId="0" borderId="13" xfId="0" applyFont="1" applyBorder="1" applyAlignment="1">
      <alignment wrapText="1"/>
    </xf>
    <xf numFmtId="0" fontId="2" fillId="0" borderId="29" xfId="0" applyFont="1" applyBorder="1" applyAlignment="1">
      <alignment wrapText="1"/>
    </xf>
    <xf numFmtId="10" fontId="2" fillId="0" borderId="30" xfId="1" applyNumberFormat="1" applyFont="1" applyBorder="1" applyAlignment="1">
      <alignment wrapText="1"/>
    </xf>
    <xf numFmtId="3" fontId="0" fillId="0" borderId="0" xfId="0" applyNumberFormat="1"/>
    <xf numFmtId="168" fontId="2" fillId="0" borderId="1" xfId="0" applyNumberFormat="1" applyFont="1" applyBorder="1"/>
    <xf numFmtId="0" fontId="5" fillId="5" borderId="32" xfId="0" applyFont="1" applyFill="1" applyBorder="1" applyAlignment="1">
      <alignment horizontal="center" vertical="center"/>
    </xf>
    <xf numFmtId="0" fontId="6" fillId="0" borderId="1" xfId="0" applyFont="1" applyBorder="1"/>
    <xf numFmtId="0" fontId="2" fillId="8" borderId="1" xfId="0" applyFont="1" applyFill="1" applyBorder="1"/>
    <xf numFmtId="0" fontId="15" fillId="8" borderId="1" xfId="0" applyFont="1" applyFill="1" applyBorder="1"/>
    <xf numFmtId="164" fontId="15" fillId="8" borderId="1" xfId="0" applyNumberFormat="1" applyFont="1" applyFill="1" applyBorder="1"/>
    <xf numFmtId="169" fontId="11" fillId="0" borderId="1" xfId="42" applyNumberFormat="1" applyFont="1" applyFill="1" applyBorder="1"/>
    <xf numFmtId="167" fontId="11" fillId="0" borderId="1" xfId="42" applyNumberFormat="1" applyFont="1" applyFill="1" applyBorder="1"/>
    <xf numFmtId="41" fontId="14" fillId="0" borderId="0" xfId="43" applyFont="1" applyFill="1" applyBorder="1" applyAlignment="1">
      <alignment vertical="center"/>
    </xf>
    <xf numFmtId="41" fontId="2" fillId="0" borderId="1" xfId="0" quotePrefix="1" applyNumberFormat="1" applyFont="1" applyBorder="1"/>
    <xf numFmtId="167" fontId="2" fillId="0" borderId="0" xfId="0" applyNumberFormat="1" applyFont="1"/>
    <xf numFmtId="169" fontId="2" fillId="0" borderId="0" xfId="42" applyNumberFormat="1" applyFont="1"/>
    <xf numFmtId="43" fontId="2" fillId="0" borderId="0" xfId="0" applyNumberFormat="1" applyFont="1"/>
    <xf numFmtId="1" fontId="2" fillId="0" borderId="1" xfId="0" applyNumberFormat="1" applyFont="1" applyBorder="1"/>
    <xf numFmtId="0" fontId="2" fillId="9" borderId="1" xfId="0" applyFont="1" applyFill="1" applyBorder="1"/>
    <xf numFmtId="0" fontId="25" fillId="0" borderId="15" xfId="0" applyFont="1" applyBorder="1" applyAlignment="1">
      <alignment wrapText="1"/>
    </xf>
    <xf numFmtId="0" fontId="25" fillId="0" borderId="19" xfId="0" applyFont="1" applyBorder="1" applyAlignment="1">
      <alignment wrapText="1"/>
    </xf>
    <xf numFmtId="0" fontId="24" fillId="10" borderId="34" xfId="0" applyFont="1" applyFill="1" applyBorder="1" applyAlignment="1">
      <alignment horizontal="center" wrapText="1"/>
    </xf>
    <xf numFmtId="0" fontId="24" fillId="10" borderId="35" xfId="0" applyFont="1" applyFill="1" applyBorder="1" applyAlignment="1">
      <alignment horizontal="center" wrapText="1"/>
    </xf>
    <xf numFmtId="0" fontId="24" fillId="10" borderId="36" xfId="0" applyFont="1" applyFill="1" applyBorder="1" applyAlignment="1">
      <alignment horizontal="center" wrapText="1"/>
    </xf>
    <xf numFmtId="10" fontId="25" fillId="0" borderId="0" xfId="0" applyNumberFormat="1" applyFont="1" applyAlignment="1">
      <alignment horizontal="right" wrapText="1"/>
    </xf>
    <xf numFmtId="10" fontId="25" fillId="0" borderId="16" xfId="0" applyNumberFormat="1" applyFont="1" applyBorder="1" applyAlignment="1">
      <alignment horizontal="right" wrapText="1"/>
    </xf>
    <xf numFmtId="10" fontId="25" fillId="0" borderId="20" xfId="0" applyNumberFormat="1" applyFont="1" applyBorder="1" applyAlignment="1">
      <alignment horizontal="right" wrapText="1"/>
    </xf>
    <xf numFmtId="10" fontId="25" fillId="0" borderId="21" xfId="0" applyNumberFormat="1" applyFont="1" applyBorder="1" applyAlignment="1">
      <alignment horizontal="right" wrapText="1"/>
    </xf>
    <xf numFmtId="10" fontId="2" fillId="0" borderId="1" xfId="0" quotePrefix="1" applyNumberFormat="1" applyFont="1" applyBorder="1" applyAlignment="1">
      <alignment horizontal="center"/>
    </xf>
    <xf numFmtId="0" fontId="12" fillId="0" borderId="13" xfId="0" applyFont="1" applyBorder="1" applyAlignment="1">
      <alignment horizontal="left"/>
    </xf>
    <xf numFmtId="165" fontId="12" fillId="0" borderId="1" xfId="0" applyNumberFormat="1" applyFont="1" applyBorder="1" applyAlignment="1">
      <alignment horizontal="center" vertical="center"/>
    </xf>
    <xf numFmtId="10" fontId="12" fillId="0" borderId="14" xfId="1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12" fillId="0" borderId="1" xfId="0" applyFont="1" applyBorder="1" applyAlignment="1">
      <alignment horizontal="left"/>
    </xf>
    <xf numFmtId="0" fontId="5" fillId="8" borderId="38" xfId="0" applyFont="1" applyFill="1" applyBorder="1" applyAlignment="1">
      <alignment horizontal="center"/>
    </xf>
    <xf numFmtId="0" fontId="5" fillId="8" borderId="39" xfId="0" applyFont="1" applyFill="1" applyBorder="1" applyAlignment="1">
      <alignment horizontal="center"/>
    </xf>
    <xf numFmtId="0" fontId="26" fillId="8" borderId="15" xfId="0" applyFont="1" applyFill="1" applyBorder="1" applyAlignment="1">
      <alignment horizontal="center" wrapText="1"/>
    </xf>
    <xf numFmtId="0" fontId="26" fillId="8" borderId="19" xfId="0" applyFont="1" applyFill="1" applyBorder="1" applyAlignment="1">
      <alignment horizontal="center" wrapText="1"/>
    </xf>
    <xf numFmtId="0" fontId="23" fillId="11" borderId="37" xfId="0" applyFont="1" applyFill="1" applyBorder="1"/>
    <xf numFmtId="168" fontId="2" fillId="0" borderId="0" xfId="0" applyNumberFormat="1" applyFont="1"/>
    <xf numFmtId="0" fontId="27" fillId="7" borderId="13" xfId="0" applyFont="1" applyFill="1" applyBorder="1" applyAlignment="1">
      <alignment horizontal="left"/>
    </xf>
    <xf numFmtId="0" fontId="27" fillId="7" borderId="1" xfId="0" applyFont="1" applyFill="1" applyBorder="1" applyAlignment="1">
      <alignment horizontal="center"/>
    </xf>
    <xf numFmtId="0" fontId="27" fillId="7" borderId="14" xfId="0" applyFont="1" applyFill="1" applyBorder="1" applyAlignment="1">
      <alignment horizontal="center"/>
    </xf>
    <xf numFmtId="0" fontId="28" fillId="0" borderId="15" xfId="0" applyFont="1" applyBorder="1" applyAlignment="1">
      <alignment horizontal="left"/>
    </xf>
    <xf numFmtId="0" fontId="28" fillId="0" borderId="0" xfId="0" applyFont="1"/>
    <xf numFmtId="10" fontId="28" fillId="0" borderId="0" xfId="1" applyNumberFormat="1" applyFont="1" applyBorder="1"/>
    <xf numFmtId="10" fontId="28" fillId="0" borderId="16" xfId="1" applyNumberFormat="1" applyFont="1" applyBorder="1"/>
    <xf numFmtId="0" fontId="28" fillId="0" borderId="19" xfId="0" applyFont="1" applyBorder="1" applyAlignment="1">
      <alignment horizontal="left"/>
    </xf>
    <xf numFmtId="10" fontId="28" fillId="0" borderId="20" xfId="1" applyNumberFormat="1" applyFont="1" applyBorder="1"/>
    <xf numFmtId="10" fontId="28" fillId="0" borderId="21" xfId="1" applyNumberFormat="1" applyFont="1" applyBorder="1"/>
    <xf numFmtId="169" fontId="0" fillId="0" borderId="0" xfId="0" applyNumberFormat="1"/>
    <xf numFmtId="41" fontId="0" fillId="0" borderId="0" xfId="0" applyNumberFormat="1"/>
    <xf numFmtId="43" fontId="0" fillId="0" borderId="0" xfId="0" applyNumberFormat="1"/>
    <xf numFmtId="10" fontId="0" fillId="0" borderId="0" xfId="1" applyNumberFormat="1" applyFont="1"/>
    <xf numFmtId="0" fontId="2" fillId="0" borderId="1" xfId="0" applyFont="1" applyBorder="1" applyAlignment="1">
      <alignment horizontal="center" vertical="center"/>
    </xf>
    <xf numFmtId="169" fontId="2" fillId="0" borderId="0" xfId="0" applyNumberFormat="1" applyFont="1"/>
    <xf numFmtId="0" fontId="11" fillId="0" borderId="1" xfId="0" applyFont="1" applyBorder="1" applyAlignment="1">
      <alignment horizontal="center" vertical="center"/>
    </xf>
    <xf numFmtId="165" fontId="2" fillId="0" borderId="1" xfId="0" applyNumberFormat="1" applyFont="1" applyBorder="1"/>
    <xf numFmtId="43" fontId="2" fillId="12" borderId="0" xfId="0" applyNumberFormat="1" applyFont="1" applyFill="1"/>
    <xf numFmtId="0" fontId="2" fillId="12" borderId="0" xfId="0" applyFont="1" applyFill="1"/>
    <xf numFmtId="165" fontId="2" fillId="12" borderId="0" xfId="0" applyNumberFormat="1" applyFont="1" applyFill="1"/>
    <xf numFmtId="0" fontId="11" fillId="0" borderId="13" xfId="0" applyFont="1" applyBorder="1" applyAlignment="1">
      <alignment horizontal="left"/>
    </xf>
    <xf numFmtId="165" fontId="11" fillId="0" borderId="1" xfId="0" applyNumberFormat="1" applyFont="1" applyBorder="1" applyAlignment="1">
      <alignment horizontal="center" vertical="center"/>
    </xf>
    <xf numFmtId="10" fontId="11" fillId="0" borderId="14" xfId="1" quotePrefix="1" applyNumberFormat="1" applyFont="1" applyFill="1" applyBorder="1" applyAlignment="1">
      <alignment horizontal="center"/>
    </xf>
    <xf numFmtId="166" fontId="11" fillId="0" borderId="30" xfId="0" applyNumberFormat="1" applyFont="1" applyBorder="1" applyAlignment="1">
      <alignment horizontal="center" vertical="center"/>
    </xf>
    <xf numFmtId="0" fontId="11" fillId="0" borderId="31" xfId="0" quotePrefix="1" applyFont="1" applyBorder="1" applyAlignment="1">
      <alignment horizontal="center"/>
    </xf>
    <xf numFmtId="0" fontId="11" fillId="0" borderId="0" xfId="0" applyFont="1" applyAlignment="1">
      <alignment horizontal="center"/>
    </xf>
    <xf numFmtId="0" fontId="29" fillId="0" borderId="0" xfId="0" applyFont="1"/>
    <xf numFmtId="0" fontId="30" fillId="0" borderId="0" xfId="0" applyFont="1" applyAlignment="1">
      <alignment horizontal="center" vertical="center"/>
    </xf>
    <xf numFmtId="0" fontId="30" fillId="0" borderId="0" xfId="0" applyFont="1"/>
    <xf numFmtId="169" fontId="29" fillId="0" borderId="0" xfId="42" applyNumberFormat="1" applyFont="1"/>
    <xf numFmtId="10" fontId="2" fillId="0" borderId="14" xfId="1" quotePrefix="1" applyNumberFormat="1" applyFont="1" applyFill="1" applyBorder="1" applyAlignment="1">
      <alignment horizontal="center" vertical="center"/>
    </xf>
    <xf numFmtId="10" fontId="2" fillId="0" borderId="1" xfId="1" applyNumberFormat="1" applyFont="1" applyFill="1" applyBorder="1"/>
    <xf numFmtId="167" fontId="2" fillId="0" borderId="1" xfId="42" applyNumberFormat="1" applyFont="1" applyFill="1" applyBorder="1"/>
    <xf numFmtId="167" fontId="2" fillId="0" borderId="1" xfId="42" applyNumberFormat="1" applyFont="1" applyFill="1" applyBorder="1" applyAlignment="1">
      <alignment wrapText="1"/>
    </xf>
    <xf numFmtId="2" fontId="2" fillId="0" borderId="30" xfId="0" applyNumberFormat="1" applyFont="1" applyBorder="1" applyAlignment="1">
      <alignment horizontal="right"/>
    </xf>
    <xf numFmtId="10" fontId="11" fillId="0" borderId="14" xfId="1" applyNumberFormat="1" applyFont="1" applyFill="1" applyBorder="1"/>
    <xf numFmtId="167" fontId="11" fillId="0" borderId="31" xfId="42" applyNumberFormat="1" applyFont="1" applyFill="1" applyBorder="1"/>
    <xf numFmtId="0" fontId="2" fillId="0" borderId="2" xfId="0" applyFont="1" applyBorder="1" applyAlignment="1">
      <alignment horizontal="center"/>
    </xf>
    <xf numFmtId="0" fontId="5" fillId="5" borderId="3" xfId="0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/>
    </xf>
    <xf numFmtId="17" fontId="5" fillId="5" borderId="1" xfId="0" applyNumberFormat="1" applyFont="1" applyFill="1" applyBorder="1" applyAlignment="1">
      <alignment horizontal="center"/>
    </xf>
    <xf numFmtId="0" fontId="27" fillId="7" borderId="17" xfId="0" applyFont="1" applyFill="1" applyBorder="1" applyAlignment="1">
      <alignment horizontal="center"/>
    </xf>
    <xf numFmtId="0" fontId="27" fillId="7" borderId="8" xfId="0" applyFont="1" applyFill="1" applyBorder="1" applyAlignment="1">
      <alignment horizontal="center"/>
    </xf>
    <xf numFmtId="0" fontId="27" fillId="7" borderId="18" xfId="0" applyFont="1" applyFill="1" applyBorder="1" applyAlignment="1">
      <alignment horizontal="center"/>
    </xf>
    <xf numFmtId="0" fontId="27" fillId="7" borderId="10" xfId="0" applyFont="1" applyFill="1" applyBorder="1" applyAlignment="1">
      <alignment horizontal="center"/>
    </xf>
    <xf numFmtId="0" fontId="27" fillId="7" borderId="11" xfId="0" applyFont="1" applyFill="1" applyBorder="1" applyAlignment="1">
      <alignment horizontal="center"/>
    </xf>
    <xf numFmtId="0" fontId="27" fillId="7" borderId="12" xfId="0" applyFont="1" applyFill="1" applyBorder="1" applyAlignment="1">
      <alignment horizontal="center"/>
    </xf>
    <xf numFmtId="0" fontId="5" fillId="7" borderId="1" xfId="0" applyFont="1" applyFill="1" applyBorder="1" applyAlignment="1">
      <alignment horizontal="center"/>
    </xf>
    <xf numFmtId="0" fontId="5" fillId="5" borderId="32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5" fillId="5" borderId="33" xfId="0" applyFont="1" applyFill="1" applyBorder="1" applyAlignment="1">
      <alignment horizontal="center" vertical="center"/>
    </xf>
    <xf numFmtId="0" fontId="5" fillId="8" borderId="10" xfId="0" applyFont="1" applyFill="1" applyBorder="1" applyAlignment="1">
      <alignment horizontal="center"/>
    </xf>
    <xf numFmtId="0" fontId="5" fillId="8" borderId="11" xfId="0" applyFont="1" applyFill="1" applyBorder="1" applyAlignment="1">
      <alignment horizontal="center"/>
    </xf>
    <xf numFmtId="0" fontId="5" fillId="8" borderId="1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  <xf numFmtId="0" fontId="5" fillId="5" borderId="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right" vertical="center"/>
    </xf>
    <xf numFmtId="0" fontId="5" fillId="5" borderId="4" xfId="0" applyFont="1" applyFill="1" applyBorder="1" applyAlignment="1">
      <alignment horizontal="right" vertical="center"/>
    </xf>
    <xf numFmtId="0" fontId="2" fillId="0" borderId="22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5" fillId="5" borderId="13" xfId="0" applyFont="1" applyFill="1" applyBorder="1" applyAlignment="1">
      <alignment horizontal="center"/>
    </xf>
    <xf numFmtId="0" fontId="5" fillId="5" borderId="14" xfId="0" applyFont="1" applyFill="1" applyBorder="1" applyAlignment="1">
      <alignment horizontal="center"/>
    </xf>
    <xf numFmtId="0" fontId="5" fillId="5" borderId="25" xfId="0" applyFont="1" applyFill="1" applyBorder="1" applyAlignment="1">
      <alignment horizontal="center" vertical="center"/>
    </xf>
    <xf numFmtId="0" fontId="5" fillId="5" borderId="27" xfId="0" applyFont="1" applyFill="1" applyBorder="1" applyAlignment="1">
      <alignment horizontal="center" vertical="center"/>
    </xf>
    <xf numFmtId="0" fontId="5" fillId="5" borderId="26" xfId="0" applyFont="1" applyFill="1" applyBorder="1" applyAlignment="1">
      <alignment horizontal="center" vertical="center"/>
    </xf>
    <xf numFmtId="0" fontId="5" fillId="5" borderId="28" xfId="0" applyFont="1" applyFill="1" applyBorder="1" applyAlignment="1">
      <alignment horizontal="center" vertical="center"/>
    </xf>
    <xf numFmtId="0" fontId="5" fillId="5" borderId="3" xfId="0" applyFont="1" applyFill="1" applyBorder="1" applyAlignment="1">
      <alignment horizontal="center" vertical="center" wrapText="1"/>
    </xf>
    <xf numFmtId="0" fontId="5" fillId="5" borderId="4" xfId="0" applyFont="1" applyFill="1" applyBorder="1" applyAlignment="1">
      <alignment horizontal="center" vertical="center" wrapText="1"/>
    </xf>
    <xf numFmtId="17" fontId="5" fillId="6" borderId="6" xfId="0" applyNumberFormat="1" applyFont="1" applyFill="1" applyBorder="1" applyAlignment="1">
      <alignment horizontal="center" vertical="center"/>
    </xf>
    <xf numFmtId="17" fontId="5" fillId="6" borderId="0" xfId="0" applyNumberFormat="1" applyFont="1" applyFill="1" applyAlignment="1">
      <alignment horizontal="center" vertical="center"/>
    </xf>
    <xf numFmtId="17" fontId="5" fillId="6" borderId="1" xfId="0" applyNumberFormat="1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5" fillId="6" borderId="7" xfId="0" applyFont="1" applyFill="1" applyBorder="1" applyAlignment="1">
      <alignment horizontal="center" vertical="center"/>
    </xf>
    <xf numFmtId="0" fontId="5" fillId="6" borderId="8" xfId="0" applyFont="1" applyFill="1" applyBorder="1" applyAlignment="1">
      <alignment horizontal="center" vertical="center"/>
    </xf>
    <xf numFmtId="0" fontId="5" fillId="6" borderId="9" xfId="0" applyFont="1" applyFill="1" applyBorder="1" applyAlignment="1">
      <alignment horizontal="center" vertical="center"/>
    </xf>
    <xf numFmtId="0" fontId="5" fillId="6" borderId="4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right"/>
    </xf>
    <xf numFmtId="0" fontId="6" fillId="4" borderId="9" xfId="0" applyFont="1" applyFill="1" applyBorder="1" applyAlignment="1">
      <alignment horizontal="right"/>
    </xf>
    <xf numFmtId="17" fontId="5" fillId="5" borderId="7" xfId="0" applyNumberFormat="1" applyFont="1" applyFill="1" applyBorder="1" applyAlignment="1">
      <alignment horizontal="center"/>
    </xf>
    <xf numFmtId="17" fontId="5" fillId="5" borderId="8" xfId="0" applyNumberFormat="1" applyFont="1" applyFill="1" applyBorder="1" applyAlignment="1">
      <alignment horizontal="center"/>
    </xf>
    <xf numFmtId="17" fontId="5" fillId="5" borderId="9" xfId="0" applyNumberFormat="1" applyFont="1" applyFill="1" applyBorder="1" applyAlignment="1">
      <alignment horizontal="center"/>
    </xf>
    <xf numFmtId="0" fontId="6" fillId="4" borderId="1" xfId="0" applyFont="1" applyFill="1" applyBorder="1" applyAlignment="1">
      <alignment horizontal="right"/>
    </xf>
    <xf numFmtId="0" fontId="5" fillId="8" borderId="34" xfId="0" applyFont="1" applyFill="1" applyBorder="1" applyAlignment="1">
      <alignment horizontal="center"/>
    </xf>
    <xf numFmtId="0" fontId="5" fillId="8" borderId="35" xfId="0" applyFont="1" applyFill="1" applyBorder="1" applyAlignment="1">
      <alignment horizontal="center"/>
    </xf>
    <xf numFmtId="0" fontId="5" fillId="8" borderId="36" xfId="0" applyFont="1" applyFill="1" applyBorder="1" applyAlignment="1">
      <alignment horizontal="center"/>
    </xf>
    <xf numFmtId="0" fontId="29" fillId="0" borderId="0" xfId="0" applyFont="1"/>
    <xf numFmtId="175" fontId="2" fillId="0" borderId="0" xfId="0" applyNumberFormat="1" applyFont="1"/>
  </cellXfs>
  <cellStyles count="74">
    <cellStyle name="20% - Accent1 1" xfId="65" xr:uid="{0DF361CB-E9A8-4220-BCD8-307CA66BA3F0}"/>
    <cellStyle name="Bad" xfId="3" builtinId="27"/>
    <cellStyle name="Comma" xfId="42" builtinId="3"/>
    <cellStyle name="Comma [0] 10" xfId="46" xr:uid="{89ABAF56-8A78-4C70-AD7B-D30CDD842CFD}"/>
    <cellStyle name="Comma [0] 11" xfId="69" xr:uid="{DC9C43D3-8414-4638-86E1-6031DEC42793}"/>
    <cellStyle name="Comma [0] 2" xfId="6" xr:uid="{137ACFAF-ACAB-4116-AB62-8C70C2832051}"/>
    <cellStyle name="Comma [0] 2 2" xfId="14" xr:uid="{08088617-9C10-402D-82F0-F54CC0842E91}"/>
    <cellStyle name="Comma [0] 2 2 2" xfId="27" xr:uid="{3F1A6FE9-16A0-4FAA-A210-82FB51AD82C4}"/>
    <cellStyle name="Comma [0] 2 2 3" xfId="56" xr:uid="{744DEFC5-8B26-41B1-BB27-04DCE91C63CE}"/>
    <cellStyle name="Comma [0] 2 2 39" xfId="52" xr:uid="{C92D875A-1341-4B2F-AE6F-777312D3A0FC}"/>
    <cellStyle name="Comma [0] 2 3" xfId="11" xr:uid="{269468D8-7F46-4604-8EC5-C8F851ED6FD9}"/>
    <cellStyle name="Comma [0] 2 3 2" xfId="50" xr:uid="{119C5701-379D-408E-A830-3BAC196086BA}"/>
    <cellStyle name="Comma [0] 2 4" xfId="36" xr:uid="{F7BC60CC-E715-4219-8166-ED13A8D8C2D8}"/>
    <cellStyle name="Comma [0] 2 5" xfId="40" xr:uid="{F3AE1A92-439D-4B0C-9E6A-6562E4A02F1C}"/>
    <cellStyle name="Comma [0] 2 6" xfId="44" xr:uid="{9C75C54B-E385-45C8-BFFE-058D0E15C7AC}"/>
    <cellStyle name="Comma [0] 2 7" xfId="47" xr:uid="{640F5625-4775-4195-A13B-151A7E309D28}"/>
    <cellStyle name="Comma [0] 2 8" xfId="71" xr:uid="{54E0A18E-C8A2-472E-873D-157CD89D292B}"/>
    <cellStyle name="Comma [0] 3" xfId="5" xr:uid="{A6225A46-DD8F-461D-98C1-1F8B2668A151}"/>
    <cellStyle name="Comma [0] 3 2" xfId="23" xr:uid="{48DEFD4D-34C1-4D51-9217-C52503847FB3}"/>
    <cellStyle name="Comma [0] 3 3" xfId="17" xr:uid="{C2CE0694-8E80-4DA7-90BC-B8FC865CE080}"/>
    <cellStyle name="Comma [0] 3 4" xfId="35" xr:uid="{E9A1DBF7-DB65-4597-B80A-6096F9149D96}"/>
    <cellStyle name="Comma [0] 3 5" xfId="70" xr:uid="{D9B9C17B-18D1-456C-9386-5205256948E7}"/>
    <cellStyle name="Comma [0] 4" xfId="4" xr:uid="{B483ABF6-78A5-44E1-8890-5F67BEB2DE22}"/>
    <cellStyle name="Comma [0] 4 2" xfId="20" xr:uid="{CF02B6CB-514C-4B93-9A00-0331581329A4}"/>
    <cellStyle name="Comma [0] 5" xfId="24" xr:uid="{4FEA7ED1-6BA3-4E65-9652-637E9F099D84}"/>
    <cellStyle name="Comma [0] 6" xfId="9" xr:uid="{F8619FE2-C2A7-4CA1-A683-306E1743626A}"/>
    <cellStyle name="Comma [0] 7" xfId="34" xr:uid="{100EE818-D293-4B39-B4B4-221B588EAB8D}"/>
    <cellStyle name="Comma [0] 8" xfId="39" xr:uid="{31761570-A43D-4356-A14F-8EAFEE99BD91}"/>
    <cellStyle name="Comma [0] 9" xfId="43" xr:uid="{EDB12038-BD3A-4F77-A61E-385BC1BF7655}"/>
    <cellStyle name="Comma 2" xfId="7" xr:uid="{3FE7581E-BE96-4189-9370-042C3CD32E05}"/>
    <cellStyle name="Comma 2 2" xfId="13" xr:uid="{5817B348-013C-48AC-9746-6DDA2DBD74B8}"/>
    <cellStyle name="Comma 2 3" xfId="31" xr:uid="{7F139FC6-4B05-4D02-9FC1-B5EE26AE5EE4}"/>
    <cellStyle name="Comma 2 4" xfId="51" xr:uid="{A4E02CE8-AAA1-4688-AA58-5A0DCBA63CFC}"/>
    <cellStyle name="Comma 3" xfId="30" xr:uid="{C5745CF1-53C9-4701-831F-BF948659A079}"/>
    <cellStyle name="Comma 3 2" xfId="66" xr:uid="{1B297108-AF3C-43DC-A794-493952B70006}"/>
    <cellStyle name="Comma 4" xfId="32" xr:uid="{34F916E4-C757-4D5F-A80C-34A0670A91B9}"/>
    <cellStyle name="Comma 4 2" xfId="68" xr:uid="{E5E21DBA-B0B4-457D-A883-844554CBE314}"/>
    <cellStyle name="Comma 5" xfId="37" xr:uid="{2EE1E07C-D452-436E-B5A0-61CCAC21AF60}"/>
    <cellStyle name="Comma 6" xfId="41" xr:uid="{0A102FC6-8116-42B7-BCD5-4AE4B7B11AE1}"/>
    <cellStyle name="Comma 7" xfId="45" xr:uid="{1259DD10-06F6-4723-960C-3291F3EE168F}"/>
    <cellStyle name="Comma 8" xfId="48" xr:uid="{ED9C5958-CF15-4225-8540-A7EF84E19053}"/>
    <cellStyle name="Comma 9" xfId="72" xr:uid="{5929DD31-B21E-4B17-8FAA-6CD8A1073E10}"/>
    <cellStyle name="Excel Built-in Comma" xfId="57" xr:uid="{A2452A74-5855-4D1B-8614-4CBA934AC16B}"/>
    <cellStyle name="Excel Built-in Comma [0]" xfId="54" xr:uid="{D012216B-78F6-44C0-8B16-E2B109114A48}"/>
    <cellStyle name="Excel Built-in Normal" xfId="58" xr:uid="{E0E27A35-FB81-4CDE-BFF6-3EABA023D113}"/>
    <cellStyle name="Good" xfId="2" builtinId="26"/>
    <cellStyle name="Heading" xfId="59" xr:uid="{1E389855-C77B-4B71-B642-FAE7198D8F5D}"/>
    <cellStyle name="Heading1" xfId="60" xr:uid="{0E39917F-28A4-4B16-BE21-5B4856BC03EE}"/>
    <cellStyle name="Normal" xfId="0" builtinId="0"/>
    <cellStyle name="Normal 2" xfId="10" xr:uid="{97DFF472-29BB-4BC3-9045-DA1684B67EDD}"/>
    <cellStyle name="Normal 2 2" xfId="26" xr:uid="{E56F24FD-BEA2-4CF6-9D3D-814EACFE95CF}"/>
    <cellStyle name="Normal 2 2 2" xfId="61" xr:uid="{6446F305-ABA0-4AB1-BA1D-90BEE7875B69}"/>
    <cellStyle name="Normal 2 3" xfId="33" xr:uid="{A44C5293-9796-4F61-A2BF-6527B0FEDB78}"/>
    <cellStyle name="Normal 2 4" xfId="49" xr:uid="{CEE7FCC0-6829-4251-8D17-A0050F53B6FA}"/>
    <cellStyle name="Normal 3" xfId="16" xr:uid="{CAE685A2-2F92-4EFC-B581-09E51B8DC14E}"/>
    <cellStyle name="Normal 3 2" xfId="22" xr:uid="{5490B6EB-03FF-41BE-ABCD-BD1B2A438F25}"/>
    <cellStyle name="Normal 3 3" xfId="38" xr:uid="{D66F171B-B037-4980-883B-427F96EB2821}"/>
    <cellStyle name="Normal 3 4" xfId="64" xr:uid="{55FC2689-E647-4E46-AE6F-1B46E37DD110}"/>
    <cellStyle name="Normal 4" xfId="19" xr:uid="{45EAE367-22B5-43D6-914C-5E59E7B0CDD3}"/>
    <cellStyle name="Normal 4 2" xfId="55" xr:uid="{4FAF3896-BE30-4B50-BF56-DF515F3E5DE0}"/>
    <cellStyle name="Normal 4 3" xfId="73" xr:uid="{2AAA50F3-E7D5-46BB-9B3D-D24590537F12}"/>
    <cellStyle name="Normal 5" xfId="21" xr:uid="{EB1FCF67-2D68-4BA9-A71F-5315FF641B19}"/>
    <cellStyle name="Normal 6" xfId="29" xr:uid="{29D3B317-551E-4052-831E-CC228C9BEC79}"/>
    <cellStyle name="Normal 7" xfId="8" xr:uid="{2E4DECF3-F562-4012-B934-A52F20782CB8}"/>
    <cellStyle name="Percent" xfId="1" builtinId="5"/>
    <cellStyle name="Percent 2" xfId="12" xr:uid="{3E1C3E10-395C-4828-B1F8-3FBB20BFB72A}"/>
    <cellStyle name="Percent 2 2" xfId="15" xr:uid="{AAAA32FE-5763-41B2-A5AB-B7F7B98669B9}"/>
    <cellStyle name="Percent 2 2 2" xfId="28" xr:uid="{ABF5FDD9-D6E3-4EF1-B25E-9976ACFA2896}"/>
    <cellStyle name="Percent 2 3" xfId="53" xr:uid="{AA949EA7-DFB5-4635-A1CA-7DDBEAD56E2B}"/>
    <cellStyle name="Percent 3" xfId="25" xr:uid="{3C053F2E-79F2-41AC-87D9-AEED2D39B12E}"/>
    <cellStyle name="Percent 3 2" xfId="67" xr:uid="{0E1F135E-9BC2-484C-9966-C49847ADAB9D}"/>
    <cellStyle name="Percent 4" xfId="18" xr:uid="{F8923857-B225-47E8-81A3-C444EAA7C2DC}"/>
    <cellStyle name="Result" xfId="62" xr:uid="{9E3E0382-07CA-468B-A3B6-A382A257C51A}"/>
    <cellStyle name="Result2" xfId="63" xr:uid="{FF7D4D06-843C-416B-B4C9-1DC1653C0DC4}"/>
  </cellStyles>
  <dxfs count="0"/>
  <tableStyles count="0" defaultTableStyle="TableStyleMedium2" defaultPivotStyle="PivotStyleLight16"/>
  <colors>
    <mruColors>
      <color rgb="FFB69BF9"/>
      <color rgb="FFF86308"/>
      <color rgb="FFFDC9B9"/>
      <color rgb="FFFF6600"/>
      <color rgb="FFE368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3.xml"/><Relationship Id="rId18" Type="http://schemas.openxmlformats.org/officeDocument/2006/relationships/externalLink" Target="externalLinks/externalLink8.xml"/><Relationship Id="rId26" Type="http://schemas.openxmlformats.org/officeDocument/2006/relationships/externalLink" Target="externalLinks/externalLink16.xml"/><Relationship Id="rId39" Type="http://schemas.openxmlformats.org/officeDocument/2006/relationships/externalLink" Target="externalLinks/externalLink29.xml"/><Relationship Id="rId21" Type="http://schemas.openxmlformats.org/officeDocument/2006/relationships/externalLink" Target="externalLinks/externalLink11.xml"/><Relationship Id="rId34" Type="http://schemas.openxmlformats.org/officeDocument/2006/relationships/externalLink" Target="externalLinks/externalLink24.xml"/><Relationship Id="rId42" Type="http://schemas.openxmlformats.org/officeDocument/2006/relationships/externalLink" Target="externalLinks/externalLink32.xml"/><Relationship Id="rId47" Type="http://schemas.openxmlformats.org/officeDocument/2006/relationships/externalLink" Target="externalLinks/externalLink37.xml"/><Relationship Id="rId50" Type="http://schemas.openxmlformats.org/officeDocument/2006/relationships/externalLink" Target="externalLinks/externalLink40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6.xml"/><Relationship Id="rId29" Type="http://schemas.openxmlformats.org/officeDocument/2006/relationships/externalLink" Target="externalLinks/externalLink19.xml"/><Relationship Id="rId11" Type="http://schemas.openxmlformats.org/officeDocument/2006/relationships/externalLink" Target="externalLinks/externalLink1.xml"/><Relationship Id="rId24" Type="http://schemas.openxmlformats.org/officeDocument/2006/relationships/externalLink" Target="externalLinks/externalLink14.xml"/><Relationship Id="rId32" Type="http://schemas.openxmlformats.org/officeDocument/2006/relationships/externalLink" Target="externalLinks/externalLink22.xml"/><Relationship Id="rId37" Type="http://schemas.openxmlformats.org/officeDocument/2006/relationships/externalLink" Target="externalLinks/externalLink27.xml"/><Relationship Id="rId40" Type="http://schemas.openxmlformats.org/officeDocument/2006/relationships/externalLink" Target="externalLinks/externalLink30.xml"/><Relationship Id="rId45" Type="http://schemas.openxmlformats.org/officeDocument/2006/relationships/externalLink" Target="externalLinks/externalLink35.xml"/><Relationship Id="rId53" Type="http://schemas.openxmlformats.org/officeDocument/2006/relationships/externalLink" Target="externalLinks/externalLink43.xml"/><Relationship Id="rId58" Type="http://schemas.openxmlformats.org/officeDocument/2006/relationships/sheetMetadata" Target="metadata.xml"/><Relationship Id="rId5" Type="http://schemas.openxmlformats.org/officeDocument/2006/relationships/worksheet" Target="worksheets/sheet5.xml"/><Relationship Id="rId61" Type="http://schemas.microsoft.com/office/2006/relationships/vbaProject" Target="vbaProject.bin"/><Relationship Id="rId19" Type="http://schemas.openxmlformats.org/officeDocument/2006/relationships/externalLink" Target="externalLinks/externalLink9.xml"/><Relationship Id="rId14" Type="http://schemas.openxmlformats.org/officeDocument/2006/relationships/externalLink" Target="externalLinks/externalLink4.xml"/><Relationship Id="rId22" Type="http://schemas.openxmlformats.org/officeDocument/2006/relationships/externalLink" Target="externalLinks/externalLink12.xml"/><Relationship Id="rId27" Type="http://schemas.openxmlformats.org/officeDocument/2006/relationships/externalLink" Target="externalLinks/externalLink17.xml"/><Relationship Id="rId30" Type="http://schemas.openxmlformats.org/officeDocument/2006/relationships/externalLink" Target="externalLinks/externalLink20.xml"/><Relationship Id="rId35" Type="http://schemas.openxmlformats.org/officeDocument/2006/relationships/externalLink" Target="externalLinks/externalLink25.xml"/><Relationship Id="rId43" Type="http://schemas.openxmlformats.org/officeDocument/2006/relationships/externalLink" Target="externalLinks/externalLink33.xml"/><Relationship Id="rId48" Type="http://schemas.openxmlformats.org/officeDocument/2006/relationships/externalLink" Target="externalLinks/externalLink38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41.xml"/><Relationship Id="rId3" Type="http://schemas.openxmlformats.org/officeDocument/2006/relationships/worksheet" Target="worksheets/sheet3.xml"/><Relationship Id="rId12" Type="http://schemas.openxmlformats.org/officeDocument/2006/relationships/externalLink" Target="externalLinks/externalLink2.xml"/><Relationship Id="rId17" Type="http://schemas.openxmlformats.org/officeDocument/2006/relationships/externalLink" Target="externalLinks/externalLink7.xml"/><Relationship Id="rId25" Type="http://schemas.openxmlformats.org/officeDocument/2006/relationships/externalLink" Target="externalLinks/externalLink15.xml"/><Relationship Id="rId33" Type="http://schemas.openxmlformats.org/officeDocument/2006/relationships/externalLink" Target="externalLinks/externalLink23.xml"/><Relationship Id="rId38" Type="http://schemas.openxmlformats.org/officeDocument/2006/relationships/externalLink" Target="externalLinks/externalLink28.xml"/><Relationship Id="rId46" Type="http://schemas.openxmlformats.org/officeDocument/2006/relationships/externalLink" Target="externalLinks/externalLink36.xml"/><Relationship Id="rId59" Type="http://schemas.openxmlformats.org/officeDocument/2006/relationships/calcChain" Target="calcChain.xml"/><Relationship Id="rId20" Type="http://schemas.openxmlformats.org/officeDocument/2006/relationships/externalLink" Target="externalLinks/externalLink10.xml"/><Relationship Id="rId41" Type="http://schemas.openxmlformats.org/officeDocument/2006/relationships/externalLink" Target="externalLinks/externalLink31.xml"/><Relationship Id="rId54" Type="http://schemas.openxmlformats.org/officeDocument/2006/relationships/externalLink" Target="externalLinks/externalLink4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externalLink" Target="externalLinks/externalLink5.xml"/><Relationship Id="rId23" Type="http://schemas.openxmlformats.org/officeDocument/2006/relationships/externalLink" Target="externalLinks/externalLink13.xml"/><Relationship Id="rId28" Type="http://schemas.openxmlformats.org/officeDocument/2006/relationships/externalLink" Target="externalLinks/externalLink18.xml"/><Relationship Id="rId36" Type="http://schemas.openxmlformats.org/officeDocument/2006/relationships/externalLink" Target="externalLinks/externalLink26.xml"/><Relationship Id="rId49" Type="http://schemas.openxmlformats.org/officeDocument/2006/relationships/externalLink" Target="externalLinks/externalLink39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externalLink" Target="externalLinks/externalLink21.xml"/><Relationship Id="rId44" Type="http://schemas.openxmlformats.org/officeDocument/2006/relationships/externalLink" Target="externalLinks/externalLink34.xml"/><Relationship Id="rId52" Type="http://schemas.openxmlformats.org/officeDocument/2006/relationships/externalLink" Target="externalLinks/externalLink42.xml"/><Relationship Id="rId6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ID"/>
              <a:t>Aset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ysClr val="windowText" lastClr="000000"/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748293715651218"/>
          <c:y val="0.41212775005385421"/>
          <c:w val="0.83580832116390436"/>
          <c:h val="0.43038684639656583"/>
        </c:manualLayout>
      </c:layout>
      <c:lineChart>
        <c:grouping val="standard"/>
        <c:varyColors val="0"/>
        <c:ser>
          <c:idx val="0"/>
          <c:order val="0"/>
          <c:tx>
            <c:strRef>
              <c:f>'BU-Kinerja Umum'!$B$15</c:f>
              <c:strCache>
                <c:ptCount val="1"/>
                <c:pt idx="0">
                  <c:v>Sumut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'BU-Kinerja Umum'!$C$14:$F$14</c:f>
              <c:numCache>
                <c:formatCode>mmm\-yyyy</c:formatCode>
                <c:ptCount val="4"/>
                <c:pt idx="0">
                  <c:v>45627</c:v>
                </c:pt>
                <c:pt idx="1">
                  <c:v>45870</c:v>
                </c:pt>
                <c:pt idx="2">
                  <c:v>45992</c:v>
                </c:pt>
                <c:pt idx="3">
                  <c:v>46235</c:v>
                </c:pt>
              </c:numCache>
            </c:numRef>
          </c:cat>
          <c:val>
            <c:numRef>
              <c:f>'BU-Kinerja Umum'!$C$15:$F$15</c:f>
              <c:numCache>
                <c:formatCode>_-* #,##0_-;\-* #,##0_-;_-* "-"??_-;_-@_-</c:formatCode>
                <c:ptCount val="4"/>
                <c:pt idx="0">
                  <c:v>346290.45957585901</c:v>
                </c:pt>
                <c:pt idx="1">
                  <c:v>360103.68582505302</c:v>
                </c:pt>
                <c:pt idx="2">
                  <c:v>356348.62067695102</c:v>
                </c:pt>
                <c:pt idx="3">
                  <c:v>374793.96122600901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3E66-4A5E-B53E-57AF71966EA1}"/>
            </c:ext>
          </c:extLst>
        </c:ser>
        <c:ser>
          <c:idx val="1"/>
          <c:order val="1"/>
          <c:tx>
            <c:strRef>
              <c:f>'BU-Kinerja Umum'!$B$16</c:f>
              <c:strCache>
                <c:ptCount val="1"/>
                <c:pt idx="0">
                  <c:v>Aceh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'BU-Kinerja Umum'!$C$14:$F$14</c:f>
              <c:numCache>
                <c:formatCode>mmm\-yyyy</c:formatCode>
                <c:ptCount val="4"/>
                <c:pt idx="0">
                  <c:v>45627</c:v>
                </c:pt>
                <c:pt idx="1">
                  <c:v>45870</c:v>
                </c:pt>
                <c:pt idx="2">
                  <c:v>45992</c:v>
                </c:pt>
                <c:pt idx="3">
                  <c:v>46235</c:v>
                </c:pt>
              </c:numCache>
            </c:numRef>
          </c:cat>
          <c:val>
            <c:numRef>
              <c:f>'BU-Kinerja Umum'!$C$16:$F$16</c:f>
              <c:numCache>
                <c:formatCode>_-* #,##0_-;\-* #,##0_-;_-* "-"??_-;_-@_-</c:formatCode>
                <c:ptCount val="4"/>
                <c:pt idx="0">
                  <c:v>57251.775797690003</c:v>
                </c:pt>
                <c:pt idx="1">
                  <c:v>56481.235064134999</c:v>
                </c:pt>
                <c:pt idx="2">
                  <c:v>55998.751553276001</c:v>
                </c:pt>
                <c:pt idx="3">
                  <c:v>59838.461147061003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3E66-4A5E-B53E-57AF71966EA1}"/>
            </c:ext>
          </c:extLst>
        </c:ser>
        <c:ser>
          <c:idx val="2"/>
          <c:order val="2"/>
          <c:tx>
            <c:strRef>
              <c:f>'BU-Kinerja Umum'!$B$17</c:f>
              <c:strCache>
                <c:ptCount val="1"/>
                <c:pt idx="0">
                  <c:v>Riau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'BU-Kinerja Umum'!$C$14:$F$14</c:f>
              <c:numCache>
                <c:formatCode>mmm\-yyyy</c:formatCode>
                <c:ptCount val="4"/>
                <c:pt idx="0">
                  <c:v>45627</c:v>
                </c:pt>
                <c:pt idx="1">
                  <c:v>45870</c:v>
                </c:pt>
                <c:pt idx="2">
                  <c:v>45992</c:v>
                </c:pt>
                <c:pt idx="3">
                  <c:v>46235</c:v>
                </c:pt>
              </c:numCache>
            </c:numRef>
          </c:cat>
          <c:val>
            <c:numRef>
              <c:f>'BU-Kinerja Umum'!$C$17:$F$17</c:f>
              <c:numCache>
                <c:formatCode>_-* #,##0_-;\-* #,##0_-;_-* "-"??_-;_-@_-</c:formatCode>
                <c:ptCount val="4"/>
                <c:pt idx="0">
                  <c:v>139124.54669960501</c:v>
                </c:pt>
                <c:pt idx="1">
                  <c:v>142160.76903135399</c:v>
                </c:pt>
                <c:pt idx="2">
                  <c:v>144447.11406120201</c:v>
                </c:pt>
                <c:pt idx="3">
                  <c:v>150931.45207185901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3E66-4A5E-B53E-57AF71966EA1}"/>
            </c:ext>
          </c:extLst>
        </c:ser>
        <c:ser>
          <c:idx val="3"/>
          <c:order val="3"/>
          <c:tx>
            <c:strRef>
              <c:f>'BU-Kinerja Umum'!$B$18</c:f>
              <c:strCache>
                <c:ptCount val="1"/>
                <c:pt idx="0">
                  <c:v>Sumbar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'BU-Kinerja Umum'!$C$14:$F$14</c:f>
              <c:numCache>
                <c:formatCode>mmm\-yyyy</c:formatCode>
                <c:ptCount val="4"/>
                <c:pt idx="0">
                  <c:v>45627</c:v>
                </c:pt>
                <c:pt idx="1">
                  <c:v>45870</c:v>
                </c:pt>
                <c:pt idx="2">
                  <c:v>45992</c:v>
                </c:pt>
                <c:pt idx="3">
                  <c:v>46235</c:v>
                </c:pt>
              </c:numCache>
            </c:numRef>
          </c:cat>
          <c:val>
            <c:numRef>
              <c:f>'BU-Kinerja Umum'!$C$18:$F$18</c:f>
              <c:numCache>
                <c:formatCode>_-* #,##0_-;\-* #,##0_-;_-* "-"??_-;_-@_-</c:formatCode>
                <c:ptCount val="4"/>
                <c:pt idx="0">
                  <c:v>81192.593779196002</c:v>
                </c:pt>
                <c:pt idx="1">
                  <c:v>81222.634949076994</c:v>
                </c:pt>
                <c:pt idx="2">
                  <c:v>82255.885528212995</c:v>
                </c:pt>
                <c:pt idx="3">
                  <c:v>87009.895551829002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3E66-4A5E-B53E-57AF71966EA1}"/>
            </c:ext>
          </c:extLst>
        </c:ser>
        <c:ser>
          <c:idx val="4"/>
          <c:order val="4"/>
          <c:tx>
            <c:strRef>
              <c:f>'BU-Kinerja Umum'!$B$19</c:f>
              <c:strCache>
                <c:ptCount val="1"/>
                <c:pt idx="0">
                  <c:v>Kepri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'BU-Kinerja Umum'!$C$14:$F$14</c:f>
              <c:numCache>
                <c:formatCode>mmm\-yyyy</c:formatCode>
                <c:ptCount val="4"/>
                <c:pt idx="0">
                  <c:v>45627</c:v>
                </c:pt>
                <c:pt idx="1">
                  <c:v>45870</c:v>
                </c:pt>
                <c:pt idx="2">
                  <c:v>45992</c:v>
                </c:pt>
                <c:pt idx="3">
                  <c:v>46235</c:v>
                </c:pt>
              </c:numCache>
            </c:numRef>
          </c:cat>
          <c:val>
            <c:numRef>
              <c:f>'BU-Kinerja Umum'!$C$19:$F$19</c:f>
              <c:numCache>
                <c:formatCode>_-* #,##0_-;\-* #,##0_-;_-* "-"??_-;_-@_-</c:formatCode>
                <c:ptCount val="4"/>
                <c:pt idx="0">
                  <c:v>96548.358053332006</c:v>
                </c:pt>
                <c:pt idx="1">
                  <c:v>104966.571430084</c:v>
                </c:pt>
                <c:pt idx="2">
                  <c:v>108909.502405286</c:v>
                </c:pt>
                <c:pt idx="3">
                  <c:v>115985.62764580399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3E66-4A5E-B53E-57AF71966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7532464"/>
        <c:axId val="447533296"/>
      </c:lineChart>
      <c:catAx>
        <c:axId val="44753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17000"/>
                </a:schemeClr>
              </a:solidFill>
              <a:round/>
            </a:ln>
            <a:effectLst/>
          </c:spPr>
        </c:majorGridlines>
        <c:numFmt formatCode="mmm\-yyyy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447533296"/>
        <c:crosses val="autoZero"/>
        <c:auto val="0"/>
        <c:lblAlgn val="ctr"/>
        <c:lblOffset val="100"/>
        <c:noMultiLvlLbl val="0"/>
      </c:catAx>
      <c:valAx>
        <c:axId val="447533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21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447532464"/>
        <c:crosses val="autoZero"/>
        <c:crossBetween val="between"/>
        <c:dispUnits>
          <c:builtInUnit val="thousand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900" b="1" i="0" u="none" strike="noStrike" kern="1200" baseline="0">
                      <a:solidFill>
                        <a:sysClr val="windowText" lastClr="000000"/>
                      </a:solidFill>
                      <a:latin typeface="Arial Narrow" panose="020B0606020202030204" pitchFamily="34" charset="0"/>
                      <a:ea typeface="+mn-ea"/>
                      <a:cs typeface="+mn-cs"/>
                    </a:defRPr>
                  </a:pPr>
                  <a:r>
                    <a:rPr lang="en-US"/>
                    <a:t>Rp triliun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ID"/>
              <a:t>DPK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ysClr val="windowText" lastClr="000000"/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748293715651218"/>
          <c:y val="0.41212775005385421"/>
          <c:w val="0.83580832116390436"/>
          <c:h val="0.43038684639656583"/>
        </c:manualLayout>
      </c:layout>
      <c:lineChart>
        <c:grouping val="standard"/>
        <c:varyColors val="0"/>
        <c:ser>
          <c:idx val="0"/>
          <c:order val="0"/>
          <c:tx>
            <c:strRef>
              <c:f>'BU-Kinerja Umum'!$B$22</c:f>
              <c:strCache>
                <c:ptCount val="1"/>
                <c:pt idx="0">
                  <c:v>Sumut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'BU-Kinerja Umum'!$C$14:$F$14</c:f>
              <c:numCache>
                <c:formatCode>mmm\-yyyy</c:formatCode>
                <c:ptCount val="4"/>
                <c:pt idx="0">
                  <c:v>45627</c:v>
                </c:pt>
                <c:pt idx="1">
                  <c:v>45870</c:v>
                </c:pt>
                <c:pt idx="2">
                  <c:v>45992</c:v>
                </c:pt>
                <c:pt idx="3">
                  <c:v>46235</c:v>
                </c:pt>
              </c:numCache>
            </c:numRef>
          </c:cat>
          <c:val>
            <c:numRef>
              <c:f>'BU-Kinerja Umum'!$C$22:$F$22</c:f>
              <c:numCache>
                <c:formatCode>_-* #,##0_-;\-* #,##0_-;_-* "-"??_-;_-@_-</c:formatCode>
                <c:ptCount val="4"/>
                <c:pt idx="0">
                  <c:v>323022.59423651203</c:v>
                </c:pt>
                <c:pt idx="1">
                  <c:v>331844.96478069201</c:v>
                </c:pt>
                <c:pt idx="2">
                  <c:v>332161.13511018798</c:v>
                </c:pt>
                <c:pt idx="3">
                  <c:v>347564.971751526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988E-4603-8653-6B86BB0B8507}"/>
            </c:ext>
          </c:extLst>
        </c:ser>
        <c:ser>
          <c:idx val="1"/>
          <c:order val="1"/>
          <c:tx>
            <c:strRef>
              <c:f>'BU-Kinerja Umum'!$B$23</c:f>
              <c:strCache>
                <c:ptCount val="1"/>
                <c:pt idx="0">
                  <c:v>Aceh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'BU-Kinerja Umum'!$C$14:$F$14</c:f>
              <c:numCache>
                <c:formatCode>mmm\-yyyy</c:formatCode>
                <c:ptCount val="4"/>
                <c:pt idx="0">
                  <c:v>45627</c:v>
                </c:pt>
                <c:pt idx="1">
                  <c:v>45870</c:v>
                </c:pt>
                <c:pt idx="2">
                  <c:v>45992</c:v>
                </c:pt>
                <c:pt idx="3">
                  <c:v>46235</c:v>
                </c:pt>
              </c:numCache>
            </c:numRef>
          </c:cat>
          <c:val>
            <c:numRef>
              <c:f>'BU-Kinerja Umum'!$C$23:$F$23</c:f>
              <c:numCache>
                <c:formatCode>_-* #,##0_-;\-* #,##0_-;_-* "-"??_-;_-@_-</c:formatCode>
                <c:ptCount val="4"/>
                <c:pt idx="0">
                  <c:v>45666.315521117998</c:v>
                </c:pt>
                <c:pt idx="1">
                  <c:v>45658.446609885999</c:v>
                </c:pt>
                <c:pt idx="2">
                  <c:v>44976.444051621002</c:v>
                </c:pt>
                <c:pt idx="3">
                  <c:v>50613.963254347997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88E-4603-8653-6B86BB0B8507}"/>
            </c:ext>
          </c:extLst>
        </c:ser>
        <c:ser>
          <c:idx val="2"/>
          <c:order val="2"/>
          <c:tx>
            <c:strRef>
              <c:f>'BU-Kinerja Umum'!$B$24</c:f>
              <c:strCache>
                <c:ptCount val="1"/>
                <c:pt idx="0">
                  <c:v>Riau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'BU-Kinerja Umum'!$C$14:$F$14</c:f>
              <c:numCache>
                <c:formatCode>mmm\-yyyy</c:formatCode>
                <c:ptCount val="4"/>
                <c:pt idx="0">
                  <c:v>45627</c:v>
                </c:pt>
                <c:pt idx="1">
                  <c:v>45870</c:v>
                </c:pt>
                <c:pt idx="2">
                  <c:v>45992</c:v>
                </c:pt>
                <c:pt idx="3">
                  <c:v>46235</c:v>
                </c:pt>
              </c:numCache>
            </c:numRef>
          </c:cat>
          <c:val>
            <c:numRef>
              <c:f>'BU-Kinerja Umum'!$C$24:$F$24</c:f>
              <c:numCache>
                <c:formatCode>_-* #,##0_-;\-* #,##0_-;_-* "-"??_-;_-@_-</c:formatCode>
                <c:ptCount val="4"/>
                <c:pt idx="0">
                  <c:v>126813.88363312501</c:v>
                </c:pt>
                <c:pt idx="1">
                  <c:v>131488.62986929101</c:v>
                </c:pt>
                <c:pt idx="2">
                  <c:v>133683.33827862301</c:v>
                </c:pt>
                <c:pt idx="3">
                  <c:v>139913.70611849101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988E-4603-8653-6B86BB0B8507}"/>
            </c:ext>
          </c:extLst>
        </c:ser>
        <c:ser>
          <c:idx val="3"/>
          <c:order val="3"/>
          <c:tx>
            <c:strRef>
              <c:f>'BU-Kinerja Umum'!$B$25</c:f>
              <c:strCache>
                <c:ptCount val="1"/>
                <c:pt idx="0">
                  <c:v>Sumbar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'BU-Kinerja Umum'!$C$14:$F$14</c:f>
              <c:numCache>
                <c:formatCode>mmm\-yyyy</c:formatCode>
                <c:ptCount val="4"/>
                <c:pt idx="0">
                  <c:v>45627</c:v>
                </c:pt>
                <c:pt idx="1">
                  <c:v>45870</c:v>
                </c:pt>
                <c:pt idx="2">
                  <c:v>45992</c:v>
                </c:pt>
                <c:pt idx="3">
                  <c:v>46235</c:v>
                </c:pt>
              </c:numCache>
            </c:numRef>
          </c:cat>
          <c:val>
            <c:numRef>
              <c:f>'BU-Kinerja Umum'!$C$25:$F$25</c:f>
              <c:numCache>
                <c:formatCode>_-* #,##0_-;\-* #,##0_-;_-* "-"??_-;_-@_-</c:formatCode>
                <c:ptCount val="4"/>
                <c:pt idx="0">
                  <c:v>54028.723546139001</c:v>
                </c:pt>
                <c:pt idx="1">
                  <c:v>55610.267204623997</c:v>
                </c:pt>
                <c:pt idx="2">
                  <c:v>56690.692057337998</c:v>
                </c:pt>
                <c:pt idx="3">
                  <c:v>66053.295969911997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988E-4603-8653-6B86BB0B8507}"/>
            </c:ext>
          </c:extLst>
        </c:ser>
        <c:ser>
          <c:idx val="4"/>
          <c:order val="4"/>
          <c:tx>
            <c:strRef>
              <c:f>'BU-Kinerja Umum'!$B$26</c:f>
              <c:strCache>
                <c:ptCount val="1"/>
                <c:pt idx="0">
                  <c:v>Kepri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'BU-Kinerja Umum'!$C$14:$F$14</c:f>
              <c:numCache>
                <c:formatCode>mmm\-yyyy</c:formatCode>
                <c:ptCount val="4"/>
                <c:pt idx="0">
                  <c:v>45627</c:v>
                </c:pt>
                <c:pt idx="1">
                  <c:v>45870</c:v>
                </c:pt>
                <c:pt idx="2">
                  <c:v>45992</c:v>
                </c:pt>
                <c:pt idx="3">
                  <c:v>46235</c:v>
                </c:pt>
              </c:numCache>
            </c:numRef>
          </c:cat>
          <c:val>
            <c:numRef>
              <c:f>'BU-Kinerja Umum'!$C$26:$F$26</c:f>
              <c:numCache>
                <c:formatCode>_-* #,##0_-;\-* #,##0_-;_-* "-"??_-;_-@_-</c:formatCode>
                <c:ptCount val="4"/>
                <c:pt idx="0">
                  <c:v>93481.805163105004</c:v>
                </c:pt>
                <c:pt idx="1">
                  <c:v>100765.236353972</c:v>
                </c:pt>
                <c:pt idx="2">
                  <c:v>105825.36367261301</c:v>
                </c:pt>
                <c:pt idx="3">
                  <c:v>111695.60269745599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988E-4603-8653-6B86BB0B85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7532464"/>
        <c:axId val="447533296"/>
      </c:lineChart>
      <c:catAx>
        <c:axId val="44753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17000"/>
                </a:schemeClr>
              </a:solidFill>
              <a:round/>
            </a:ln>
            <a:effectLst/>
          </c:spPr>
        </c:majorGridlines>
        <c:numFmt formatCode="mmm\-yyyy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447533296"/>
        <c:crosses val="autoZero"/>
        <c:auto val="0"/>
        <c:lblAlgn val="ctr"/>
        <c:lblOffset val="100"/>
        <c:noMultiLvlLbl val="0"/>
      </c:catAx>
      <c:valAx>
        <c:axId val="447533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21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447532464"/>
        <c:crosses val="autoZero"/>
        <c:crossBetween val="between"/>
        <c:dispUnits>
          <c:builtInUnit val="thousand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900" b="1" i="0" u="none" strike="noStrike" kern="1200" baseline="0">
                      <a:solidFill>
                        <a:sysClr val="windowText" lastClr="000000"/>
                      </a:solidFill>
                      <a:latin typeface="Arial Narrow" panose="020B0606020202030204" pitchFamily="34" charset="0"/>
                      <a:ea typeface="+mn-ea"/>
                      <a:cs typeface="+mn-cs"/>
                    </a:defRPr>
                  </a:pPr>
                  <a:r>
                    <a:rPr lang="en-US"/>
                    <a:t>Rp triliun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ID"/>
              <a:t>Kredit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ysClr val="windowText" lastClr="000000"/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748293715651218"/>
          <c:y val="0.41212775005385421"/>
          <c:w val="0.83580832116390436"/>
          <c:h val="0.43038684639656583"/>
        </c:manualLayout>
      </c:layout>
      <c:lineChart>
        <c:grouping val="standard"/>
        <c:varyColors val="0"/>
        <c:ser>
          <c:idx val="0"/>
          <c:order val="0"/>
          <c:tx>
            <c:strRef>
              <c:f>'BU-Kinerja Umum'!$B$29</c:f>
              <c:strCache>
                <c:ptCount val="1"/>
                <c:pt idx="0">
                  <c:v>Sumut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'BU-Kinerja Umum'!$C$14:$F$14</c:f>
              <c:numCache>
                <c:formatCode>mmm\-yyyy</c:formatCode>
                <c:ptCount val="4"/>
                <c:pt idx="0">
                  <c:v>45627</c:v>
                </c:pt>
                <c:pt idx="1">
                  <c:v>45870</c:v>
                </c:pt>
                <c:pt idx="2">
                  <c:v>45992</c:v>
                </c:pt>
                <c:pt idx="3">
                  <c:v>46235</c:v>
                </c:pt>
              </c:numCache>
            </c:numRef>
          </c:cat>
          <c:val>
            <c:numRef>
              <c:f>'BU-Kinerja Umum'!$C$29:$F$29</c:f>
              <c:numCache>
                <c:formatCode>_-* #,##0_-;\-* #,##0_-;_-* "-"??_-;_-@_-</c:formatCode>
                <c:ptCount val="4"/>
                <c:pt idx="0">
                  <c:v>299818.55596845999</c:v>
                </c:pt>
                <c:pt idx="1">
                  <c:v>308653.18257372401</c:v>
                </c:pt>
                <c:pt idx="2">
                  <c:v>312192.44588559098</c:v>
                </c:pt>
                <c:pt idx="3">
                  <c:v>333834.68283965602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392E-4DD1-93C2-B00878C48A1D}"/>
            </c:ext>
          </c:extLst>
        </c:ser>
        <c:ser>
          <c:idx val="1"/>
          <c:order val="1"/>
          <c:tx>
            <c:strRef>
              <c:f>'BU-Kinerja Umum'!$B$30</c:f>
              <c:strCache>
                <c:ptCount val="1"/>
                <c:pt idx="0">
                  <c:v>Aceh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'BU-Kinerja Umum'!$C$14:$F$14</c:f>
              <c:numCache>
                <c:formatCode>mmm\-yyyy</c:formatCode>
                <c:ptCount val="4"/>
                <c:pt idx="0">
                  <c:v>45627</c:v>
                </c:pt>
                <c:pt idx="1">
                  <c:v>45870</c:v>
                </c:pt>
                <c:pt idx="2">
                  <c:v>45992</c:v>
                </c:pt>
                <c:pt idx="3">
                  <c:v>46235</c:v>
                </c:pt>
              </c:numCache>
            </c:numRef>
          </c:cat>
          <c:val>
            <c:numRef>
              <c:f>'BU-Kinerja Umum'!$C$30:$F$30</c:f>
              <c:numCache>
                <c:formatCode>_-* #,##0_-;\-* #,##0_-;_-* "-"??_-;_-@_-</c:formatCode>
                <c:ptCount val="4"/>
                <c:pt idx="0">
                  <c:v>51644.250582483</c:v>
                </c:pt>
                <c:pt idx="1">
                  <c:v>52706.498412979003</c:v>
                </c:pt>
                <c:pt idx="2">
                  <c:v>53156.411517082997</c:v>
                </c:pt>
                <c:pt idx="3">
                  <c:v>61740.342216409001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392E-4DD1-93C2-B00878C48A1D}"/>
            </c:ext>
          </c:extLst>
        </c:ser>
        <c:ser>
          <c:idx val="2"/>
          <c:order val="2"/>
          <c:tx>
            <c:strRef>
              <c:f>'BU-Kinerja Umum'!$B$31</c:f>
              <c:strCache>
                <c:ptCount val="1"/>
                <c:pt idx="0">
                  <c:v>Riau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'BU-Kinerja Umum'!$C$14:$F$14</c:f>
              <c:numCache>
                <c:formatCode>mmm\-yyyy</c:formatCode>
                <c:ptCount val="4"/>
                <c:pt idx="0">
                  <c:v>45627</c:v>
                </c:pt>
                <c:pt idx="1">
                  <c:v>45870</c:v>
                </c:pt>
                <c:pt idx="2">
                  <c:v>45992</c:v>
                </c:pt>
                <c:pt idx="3">
                  <c:v>46235</c:v>
                </c:pt>
              </c:numCache>
            </c:numRef>
          </c:cat>
          <c:val>
            <c:numRef>
              <c:f>'BU-Kinerja Umum'!$C$31:$F$31</c:f>
              <c:numCache>
                <c:formatCode>_-* #,##0_-;\-* #,##0_-;_-* "-"??_-;_-@_-</c:formatCode>
                <c:ptCount val="4"/>
                <c:pt idx="0">
                  <c:v>153625.02124456299</c:v>
                </c:pt>
                <c:pt idx="1">
                  <c:v>167740.927529562</c:v>
                </c:pt>
                <c:pt idx="2">
                  <c:v>174113.18174061901</c:v>
                </c:pt>
                <c:pt idx="3">
                  <c:v>187581.973627492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392E-4DD1-93C2-B00878C48A1D}"/>
            </c:ext>
          </c:extLst>
        </c:ser>
        <c:ser>
          <c:idx val="3"/>
          <c:order val="3"/>
          <c:tx>
            <c:strRef>
              <c:f>'BU-Kinerja Umum'!$B$32</c:f>
              <c:strCache>
                <c:ptCount val="1"/>
                <c:pt idx="0">
                  <c:v>Sumbar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'BU-Kinerja Umum'!$C$14:$F$14</c:f>
              <c:numCache>
                <c:formatCode>mmm\-yyyy</c:formatCode>
                <c:ptCount val="4"/>
                <c:pt idx="0">
                  <c:v>45627</c:v>
                </c:pt>
                <c:pt idx="1">
                  <c:v>45870</c:v>
                </c:pt>
                <c:pt idx="2">
                  <c:v>45992</c:v>
                </c:pt>
                <c:pt idx="3">
                  <c:v>46235</c:v>
                </c:pt>
              </c:numCache>
            </c:numRef>
          </c:cat>
          <c:val>
            <c:numRef>
              <c:f>'BU-Kinerja Umum'!$C$32:$F$32</c:f>
              <c:numCache>
                <c:formatCode>_-* #,##0_-;\-* #,##0_-;_-* "-"??_-;_-@_-</c:formatCode>
                <c:ptCount val="4"/>
                <c:pt idx="0">
                  <c:v>78140.008120116006</c:v>
                </c:pt>
                <c:pt idx="1">
                  <c:v>77545.080628755997</c:v>
                </c:pt>
                <c:pt idx="2">
                  <c:v>78751.631128359004</c:v>
                </c:pt>
                <c:pt idx="3">
                  <c:v>84289.733554691004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392E-4DD1-93C2-B00878C48A1D}"/>
            </c:ext>
          </c:extLst>
        </c:ser>
        <c:ser>
          <c:idx val="4"/>
          <c:order val="4"/>
          <c:tx>
            <c:strRef>
              <c:f>'BU-Kinerja Umum'!$B$33</c:f>
              <c:strCache>
                <c:ptCount val="1"/>
                <c:pt idx="0">
                  <c:v>Kepri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'BU-Kinerja Umum'!$C$14:$F$14</c:f>
              <c:numCache>
                <c:formatCode>mmm\-yyyy</c:formatCode>
                <c:ptCount val="4"/>
                <c:pt idx="0">
                  <c:v>45627</c:v>
                </c:pt>
                <c:pt idx="1">
                  <c:v>45870</c:v>
                </c:pt>
                <c:pt idx="2">
                  <c:v>45992</c:v>
                </c:pt>
                <c:pt idx="3">
                  <c:v>46235</c:v>
                </c:pt>
              </c:numCache>
            </c:numRef>
          </c:cat>
          <c:val>
            <c:numRef>
              <c:f>'BU-Kinerja Umum'!$C$33:$F$33</c:f>
              <c:numCache>
                <c:formatCode>_-* #,##0_-;\-* #,##0_-;_-* "-"??_-;_-@_-</c:formatCode>
                <c:ptCount val="4"/>
                <c:pt idx="0">
                  <c:v>79107.763907859</c:v>
                </c:pt>
                <c:pt idx="1">
                  <c:v>89148.631831866995</c:v>
                </c:pt>
                <c:pt idx="2">
                  <c:v>99554.902396225996</c:v>
                </c:pt>
                <c:pt idx="3">
                  <c:v>119717.33511925599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392E-4DD1-93C2-B00878C48A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7532464"/>
        <c:axId val="447533296"/>
      </c:lineChart>
      <c:catAx>
        <c:axId val="44753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17000"/>
                </a:schemeClr>
              </a:solidFill>
              <a:round/>
            </a:ln>
            <a:effectLst/>
          </c:spPr>
        </c:majorGridlines>
        <c:numFmt formatCode="mmm\-yyyy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447533296"/>
        <c:crosses val="autoZero"/>
        <c:auto val="0"/>
        <c:lblAlgn val="ctr"/>
        <c:lblOffset val="100"/>
        <c:noMultiLvlLbl val="0"/>
      </c:catAx>
      <c:valAx>
        <c:axId val="447533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21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447532464"/>
        <c:crosses val="autoZero"/>
        <c:crossBetween val="between"/>
        <c:dispUnits>
          <c:builtInUnit val="thousand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900" b="1" i="0" u="none" strike="noStrike" kern="1200" baseline="0">
                      <a:solidFill>
                        <a:sysClr val="windowText" lastClr="000000"/>
                      </a:solidFill>
                      <a:latin typeface="Arial Narrow" panose="020B0606020202030204" pitchFamily="34" charset="0"/>
                      <a:ea typeface="+mn-ea"/>
                      <a:cs typeface="+mn-cs"/>
                    </a:defRPr>
                  </a:pPr>
                  <a:r>
                    <a:rPr lang="en-US"/>
                    <a:t>Rp triliun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ID"/>
              <a:t>Aset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ysClr val="windowText" lastClr="000000"/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748293715651218"/>
          <c:y val="0.41212775005385421"/>
          <c:w val="0.83580832116390436"/>
          <c:h val="0.43038684639656583"/>
        </c:manualLayout>
      </c:layout>
      <c:lineChart>
        <c:grouping val="standard"/>
        <c:varyColors val="0"/>
        <c:ser>
          <c:idx val="0"/>
          <c:order val="0"/>
          <c:tx>
            <c:strRef>
              <c:f>'Bank Imut'!$B$38</c:f>
              <c:strCache>
                <c:ptCount val="1"/>
                <c:pt idx="0">
                  <c:v>Bsumut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'Bank Imut'!$C$37:$F$37</c:f>
              <c:numCache>
                <c:formatCode>mmm\-yyyy</c:formatCode>
                <c:ptCount val="4"/>
                <c:pt idx="0">
                  <c:v>45627</c:v>
                </c:pt>
                <c:pt idx="1">
                  <c:v>45809</c:v>
                </c:pt>
                <c:pt idx="2">
                  <c:v>45992</c:v>
                </c:pt>
                <c:pt idx="3">
                  <c:v>46174</c:v>
                </c:pt>
              </c:numCache>
            </c:numRef>
          </c:cat>
          <c:val>
            <c:numRef>
              <c:f>'Bank Imut'!$C$38:$F$38</c:f>
              <c:numCache>
                <c:formatCode>_-* #,##0_-;\-* #,##0_-;_-* "-"??_-;_-@_-</c:formatCode>
                <c:ptCount val="4"/>
                <c:pt idx="0">
                  <c:v>45449.143848644373</c:v>
                </c:pt>
                <c:pt idx="1">
                  <c:v>45247</c:v>
                </c:pt>
                <c:pt idx="2">
                  <c:v>48350</c:v>
                </c:pt>
                <c:pt idx="3">
                  <c:v>46215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3E66-4A5E-B53E-57AF71966EA1}"/>
            </c:ext>
          </c:extLst>
        </c:ser>
        <c:ser>
          <c:idx val="1"/>
          <c:order val="1"/>
          <c:tx>
            <c:strRef>
              <c:f>'Bank Imut'!$B$39</c:f>
              <c:strCache>
                <c:ptCount val="1"/>
                <c:pt idx="0">
                  <c:v>Bank Mestika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'Bank Imut'!$C$37:$F$37</c:f>
              <c:numCache>
                <c:formatCode>mmm\-yyyy</c:formatCode>
                <c:ptCount val="4"/>
                <c:pt idx="0">
                  <c:v>45627</c:v>
                </c:pt>
                <c:pt idx="1">
                  <c:v>45809</c:v>
                </c:pt>
                <c:pt idx="2">
                  <c:v>45992</c:v>
                </c:pt>
                <c:pt idx="3">
                  <c:v>46174</c:v>
                </c:pt>
              </c:numCache>
            </c:numRef>
          </c:cat>
          <c:val>
            <c:numRef>
              <c:f>'Bank Imut'!$C$39:$F$39</c:f>
              <c:numCache>
                <c:formatCode>_-* #,##0_-;\-* #,##0_-;_-* "-"??_-;_-@_-</c:formatCode>
                <c:ptCount val="4"/>
                <c:pt idx="0">
                  <c:v>16701.977034399999</c:v>
                </c:pt>
                <c:pt idx="1">
                  <c:v>16423.122832000001</c:v>
                </c:pt>
                <c:pt idx="2">
                  <c:v>16748.393538799999</c:v>
                </c:pt>
                <c:pt idx="3">
                  <c:v>16237.676129699999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3E66-4A5E-B53E-57AF71966EA1}"/>
            </c:ext>
          </c:extLst>
        </c:ser>
        <c:ser>
          <c:idx val="2"/>
          <c:order val="2"/>
          <c:tx>
            <c:strRef>
              <c:f>'Bank Imut'!$B$40</c:f>
              <c:strCache>
                <c:ptCount val="1"/>
                <c:pt idx="0">
                  <c:v>BPD Aceh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'Bank Imut'!$C$37:$F$37</c:f>
              <c:numCache>
                <c:formatCode>mmm\-yyyy</c:formatCode>
                <c:ptCount val="4"/>
                <c:pt idx="0">
                  <c:v>45627</c:v>
                </c:pt>
                <c:pt idx="1">
                  <c:v>45809</c:v>
                </c:pt>
                <c:pt idx="2">
                  <c:v>45992</c:v>
                </c:pt>
                <c:pt idx="3">
                  <c:v>46174</c:v>
                </c:pt>
              </c:numCache>
            </c:numRef>
          </c:cat>
          <c:val>
            <c:numRef>
              <c:f>'Bank Imut'!$C$40:$F$40</c:f>
              <c:numCache>
                <c:formatCode>_-* #,##0_-;\-* #,##0_-;_-* "-"??_-;_-@_-</c:formatCode>
                <c:ptCount val="4"/>
                <c:pt idx="0">
                  <c:v>32049</c:v>
                </c:pt>
                <c:pt idx="1">
                  <c:v>30196.117370943</c:v>
                </c:pt>
                <c:pt idx="2">
                  <c:v>28464.03483667145</c:v>
                </c:pt>
                <c:pt idx="3">
                  <c:v>29217.703040081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3E66-4A5E-B53E-57AF71966EA1}"/>
            </c:ext>
          </c:extLst>
        </c:ser>
        <c:ser>
          <c:idx val="3"/>
          <c:order val="3"/>
          <c:tx>
            <c:strRef>
              <c:f>'Bank Imut'!$B$41</c:f>
              <c:strCache>
                <c:ptCount val="1"/>
                <c:pt idx="0">
                  <c:v>Bank Riau Kepri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'Bank Imut'!$C$37:$F$37</c:f>
              <c:numCache>
                <c:formatCode>mmm\-yyyy</c:formatCode>
                <c:ptCount val="4"/>
                <c:pt idx="0">
                  <c:v>45627</c:v>
                </c:pt>
                <c:pt idx="1">
                  <c:v>45809</c:v>
                </c:pt>
                <c:pt idx="2">
                  <c:v>45992</c:v>
                </c:pt>
                <c:pt idx="3">
                  <c:v>46174</c:v>
                </c:pt>
              </c:numCache>
            </c:numRef>
          </c:cat>
          <c:val>
            <c:numRef>
              <c:f>'Bank Imut'!$C$41:$F$41</c:f>
              <c:numCache>
                <c:formatCode>_-* #,##0_-;\-* #,##0_-;_-* "-"??_-;_-@_-</c:formatCode>
                <c:ptCount val="4"/>
                <c:pt idx="0">
                  <c:v>30859.726565174002</c:v>
                </c:pt>
                <c:pt idx="1">
                  <c:v>31742</c:v>
                </c:pt>
                <c:pt idx="2">
                  <c:v>31100</c:v>
                </c:pt>
                <c:pt idx="3">
                  <c:v>29729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3E66-4A5E-B53E-57AF71966EA1}"/>
            </c:ext>
          </c:extLst>
        </c:ser>
        <c:ser>
          <c:idx val="4"/>
          <c:order val="4"/>
          <c:tx>
            <c:strRef>
              <c:f>'Bank Imut'!$B$42</c:f>
              <c:strCache>
                <c:ptCount val="1"/>
                <c:pt idx="0">
                  <c:v>Bank Nagari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'Bank Imut'!$C$37:$F$37</c:f>
              <c:numCache>
                <c:formatCode>mmm\-yyyy</c:formatCode>
                <c:ptCount val="4"/>
                <c:pt idx="0">
                  <c:v>45627</c:v>
                </c:pt>
                <c:pt idx="1">
                  <c:v>45809</c:v>
                </c:pt>
                <c:pt idx="2">
                  <c:v>45992</c:v>
                </c:pt>
                <c:pt idx="3">
                  <c:v>46174</c:v>
                </c:pt>
              </c:numCache>
            </c:numRef>
          </c:cat>
          <c:val>
            <c:numRef>
              <c:f>'Bank Imut'!$C$42:$F$42</c:f>
              <c:numCache>
                <c:formatCode>_-* #,##0_-;\-* #,##0_-;_-* "-"??_-;_-@_-</c:formatCode>
                <c:ptCount val="4"/>
                <c:pt idx="0">
                  <c:v>32957.815000000002</c:v>
                </c:pt>
                <c:pt idx="1">
                  <c:v>33820.252999999997</c:v>
                </c:pt>
                <c:pt idx="2">
                  <c:v>33488.079823647</c:v>
                </c:pt>
                <c:pt idx="3">
                  <c:v>33003.9002148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A-E502-47E4-B498-4D92813E56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7532464"/>
        <c:axId val="447533296"/>
      </c:lineChart>
      <c:catAx>
        <c:axId val="44753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17000"/>
                </a:schemeClr>
              </a:solidFill>
              <a:round/>
            </a:ln>
            <a:effectLst/>
          </c:spPr>
        </c:majorGridlines>
        <c:numFmt formatCode="mmm\-yyyy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447533296"/>
        <c:crosses val="autoZero"/>
        <c:auto val="0"/>
        <c:lblAlgn val="ctr"/>
        <c:lblOffset val="100"/>
        <c:noMultiLvlLbl val="0"/>
      </c:catAx>
      <c:valAx>
        <c:axId val="447533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21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447532464"/>
        <c:crosses val="autoZero"/>
        <c:crossBetween val="between"/>
        <c:dispUnits>
          <c:builtInUnit val="thousand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900" b="1" i="0" u="none" strike="noStrike" kern="1200" baseline="0">
                      <a:solidFill>
                        <a:sysClr val="windowText" lastClr="000000"/>
                      </a:solidFill>
                      <a:latin typeface="Arial Narrow" panose="020B0606020202030204" pitchFamily="34" charset="0"/>
                      <a:ea typeface="+mn-ea"/>
                      <a:cs typeface="+mn-cs"/>
                    </a:defRPr>
                  </a:pPr>
                  <a:r>
                    <a:rPr lang="en-US"/>
                    <a:t>Rp Triliun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ID"/>
              <a:t>DPK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ysClr val="windowText" lastClr="000000"/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748293715651218"/>
          <c:y val="0.41212775005385421"/>
          <c:w val="0.83580832116390436"/>
          <c:h val="0.43038684639656583"/>
        </c:manualLayout>
      </c:layout>
      <c:lineChart>
        <c:grouping val="standard"/>
        <c:varyColors val="0"/>
        <c:ser>
          <c:idx val="0"/>
          <c:order val="0"/>
          <c:tx>
            <c:strRef>
              <c:f>'Bank Imut'!$B$45</c:f>
              <c:strCache>
                <c:ptCount val="1"/>
                <c:pt idx="0">
                  <c:v>Bsumut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'Bank Imut'!$C$37:$F$37</c:f>
              <c:numCache>
                <c:formatCode>mmm\-yyyy</c:formatCode>
                <c:ptCount val="4"/>
                <c:pt idx="0">
                  <c:v>45627</c:v>
                </c:pt>
                <c:pt idx="1">
                  <c:v>45809</c:v>
                </c:pt>
                <c:pt idx="2">
                  <c:v>45992</c:v>
                </c:pt>
                <c:pt idx="3">
                  <c:v>46174</c:v>
                </c:pt>
              </c:numCache>
            </c:numRef>
          </c:cat>
          <c:val>
            <c:numRef>
              <c:f>'Bank Imut'!$C$45:$F$45</c:f>
              <c:numCache>
                <c:formatCode>_-* #,##0_-;\-* #,##0_-;_-* "-"??_-;_-@_-</c:formatCode>
                <c:ptCount val="4"/>
                <c:pt idx="0">
                  <c:v>35934.658900307491</c:v>
                </c:pt>
                <c:pt idx="1">
                  <c:v>37233</c:v>
                </c:pt>
                <c:pt idx="2">
                  <c:v>38645</c:v>
                </c:pt>
                <c:pt idx="3">
                  <c:v>37602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7A1-4454-831A-856406712514}"/>
            </c:ext>
          </c:extLst>
        </c:ser>
        <c:ser>
          <c:idx val="1"/>
          <c:order val="1"/>
          <c:tx>
            <c:strRef>
              <c:f>'Bank Imut'!$B$46</c:f>
              <c:strCache>
                <c:ptCount val="1"/>
                <c:pt idx="0">
                  <c:v>Bank Mestika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'Bank Imut'!$C$37:$F$37</c:f>
              <c:numCache>
                <c:formatCode>mmm\-yyyy</c:formatCode>
                <c:ptCount val="4"/>
                <c:pt idx="0">
                  <c:v>45627</c:v>
                </c:pt>
                <c:pt idx="1">
                  <c:v>45809</c:v>
                </c:pt>
                <c:pt idx="2">
                  <c:v>45992</c:v>
                </c:pt>
                <c:pt idx="3">
                  <c:v>46174</c:v>
                </c:pt>
              </c:numCache>
            </c:numRef>
          </c:cat>
          <c:val>
            <c:numRef>
              <c:f>'Bank Imut'!$C$46:$F$46</c:f>
              <c:numCache>
                <c:formatCode>_-* #,##0_-;\-* #,##0_-;_-* "-"??_-;_-@_-</c:formatCode>
                <c:ptCount val="4"/>
                <c:pt idx="0">
                  <c:v>10290.772193500001</c:v>
                </c:pt>
                <c:pt idx="1">
                  <c:v>10949.562435200001</c:v>
                </c:pt>
                <c:pt idx="2">
                  <c:v>10996.263413299999</c:v>
                </c:pt>
                <c:pt idx="3">
                  <c:v>10638.613056599999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57A1-4454-831A-856406712514}"/>
            </c:ext>
          </c:extLst>
        </c:ser>
        <c:ser>
          <c:idx val="2"/>
          <c:order val="2"/>
          <c:tx>
            <c:strRef>
              <c:f>'Bank Imut'!$B$47</c:f>
              <c:strCache>
                <c:ptCount val="1"/>
                <c:pt idx="0">
                  <c:v>BPD Aceh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'Bank Imut'!$C$37:$F$37</c:f>
              <c:numCache>
                <c:formatCode>mmm\-yyyy</c:formatCode>
                <c:ptCount val="4"/>
                <c:pt idx="0">
                  <c:v>45627</c:v>
                </c:pt>
                <c:pt idx="1">
                  <c:v>45809</c:v>
                </c:pt>
                <c:pt idx="2">
                  <c:v>45992</c:v>
                </c:pt>
                <c:pt idx="3">
                  <c:v>46174</c:v>
                </c:pt>
              </c:numCache>
            </c:numRef>
          </c:cat>
          <c:val>
            <c:numRef>
              <c:f>'Bank Imut'!$C$47:$F$47</c:f>
              <c:numCache>
                <c:formatCode>_-* #,##0_-;\-* #,##0_-;_-* "-"??_-;_-@_-</c:formatCode>
                <c:ptCount val="4"/>
                <c:pt idx="0">
                  <c:v>26216</c:v>
                </c:pt>
                <c:pt idx="1">
                  <c:v>25650.589189640999</c:v>
                </c:pt>
                <c:pt idx="2">
                  <c:v>23738.49909598528</c:v>
                </c:pt>
                <c:pt idx="3">
                  <c:v>24744.661244339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7A1-4454-831A-856406712514}"/>
            </c:ext>
          </c:extLst>
        </c:ser>
        <c:ser>
          <c:idx val="3"/>
          <c:order val="3"/>
          <c:tx>
            <c:strRef>
              <c:f>'Bank Imut'!$B$48</c:f>
              <c:strCache>
                <c:ptCount val="1"/>
                <c:pt idx="0">
                  <c:v>Bank Riau Kepri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'Bank Imut'!$C$37:$F$37</c:f>
              <c:numCache>
                <c:formatCode>mmm\-yyyy</c:formatCode>
                <c:ptCount val="4"/>
                <c:pt idx="0">
                  <c:v>45627</c:v>
                </c:pt>
                <c:pt idx="1">
                  <c:v>45809</c:v>
                </c:pt>
                <c:pt idx="2">
                  <c:v>45992</c:v>
                </c:pt>
                <c:pt idx="3">
                  <c:v>46174</c:v>
                </c:pt>
              </c:numCache>
            </c:numRef>
          </c:cat>
          <c:val>
            <c:numRef>
              <c:f>'Bank Imut'!$C$48:$F$48</c:f>
              <c:numCache>
                <c:formatCode>_-* #,##0_-;\-* #,##0_-;_-* "-"??_-;_-@_-</c:formatCode>
                <c:ptCount val="4"/>
                <c:pt idx="0">
                  <c:v>24316.478203499999</c:v>
                </c:pt>
                <c:pt idx="1">
                  <c:v>27091</c:v>
                </c:pt>
                <c:pt idx="2">
                  <c:v>25750</c:v>
                </c:pt>
                <c:pt idx="3">
                  <c:v>24379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57A1-4454-831A-856406712514}"/>
            </c:ext>
          </c:extLst>
        </c:ser>
        <c:ser>
          <c:idx val="4"/>
          <c:order val="4"/>
          <c:tx>
            <c:strRef>
              <c:f>'Bank Imut'!$B$49</c:f>
              <c:strCache>
                <c:ptCount val="1"/>
                <c:pt idx="0">
                  <c:v>Bank Nagari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'Bank Imut'!$C$37:$F$37</c:f>
              <c:numCache>
                <c:formatCode>mmm\-yyyy</c:formatCode>
                <c:ptCount val="4"/>
                <c:pt idx="0">
                  <c:v>45627</c:v>
                </c:pt>
                <c:pt idx="1">
                  <c:v>45809</c:v>
                </c:pt>
                <c:pt idx="2">
                  <c:v>45992</c:v>
                </c:pt>
                <c:pt idx="3">
                  <c:v>46174</c:v>
                </c:pt>
              </c:numCache>
            </c:numRef>
          </c:cat>
          <c:val>
            <c:numRef>
              <c:f>'Bank Imut'!$C$49:$F$49</c:f>
              <c:numCache>
                <c:formatCode>_-* #,##0_-;\-* #,##0_-;_-* "-"??_-;_-@_-</c:formatCode>
                <c:ptCount val="4"/>
                <c:pt idx="0">
                  <c:v>26683.360700500001</c:v>
                </c:pt>
                <c:pt idx="1">
                  <c:v>27358.776999999998</c:v>
                </c:pt>
                <c:pt idx="2">
                  <c:v>26839.116000000002</c:v>
                </c:pt>
                <c:pt idx="3">
                  <c:v>26506.298999999999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57A1-4454-831A-8564067125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7532464"/>
        <c:axId val="447533296"/>
      </c:lineChart>
      <c:catAx>
        <c:axId val="44753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17000"/>
                </a:schemeClr>
              </a:solidFill>
              <a:round/>
            </a:ln>
            <a:effectLst/>
          </c:spPr>
        </c:majorGridlines>
        <c:numFmt formatCode="mmm\-yyyy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447533296"/>
        <c:crosses val="autoZero"/>
        <c:auto val="0"/>
        <c:lblAlgn val="ctr"/>
        <c:lblOffset val="100"/>
        <c:noMultiLvlLbl val="0"/>
      </c:catAx>
      <c:valAx>
        <c:axId val="447533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21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447532464"/>
        <c:crosses val="autoZero"/>
        <c:crossBetween val="between"/>
        <c:dispUnits>
          <c:builtInUnit val="thousand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900" b="1" i="0" u="none" strike="noStrike" kern="1200" baseline="0">
                      <a:solidFill>
                        <a:sysClr val="windowText" lastClr="000000"/>
                      </a:solidFill>
                      <a:latin typeface="Arial Narrow" panose="020B0606020202030204" pitchFamily="34" charset="0"/>
                      <a:ea typeface="+mn-ea"/>
                      <a:cs typeface="+mn-cs"/>
                    </a:defRPr>
                  </a:pPr>
                  <a:r>
                    <a:rPr lang="en-US"/>
                    <a:t>Rp</a:t>
                  </a:r>
                  <a:r>
                    <a:rPr lang="en-US" baseline="0"/>
                    <a:t> Triliun</a:t>
                  </a:r>
                  <a:endParaRPr lang="en-US"/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ID"/>
              <a:t>Kredit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ysClr val="windowText" lastClr="000000"/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748293715651218"/>
          <c:y val="0.41212775005385421"/>
          <c:w val="0.83580832116390436"/>
          <c:h val="0.43038684639656583"/>
        </c:manualLayout>
      </c:layout>
      <c:lineChart>
        <c:grouping val="standard"/>
        <c:varyColors val="0"/>
        <c:ser>
          <c:idx val="0"/>
          <c:order val="0"/>
          <c:tx>
            <c:strRef>
              <c:f>'Bank Imut'!$B$52</c:f>
              <c:strCache>
                <c:ptCount val="1"/>
                <c:pt idx="0">
                  <c:v>Bsumut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'Bank Imut'!$C$37:$F$37</c:f>
              <c:numCache>
                <c:formatCode>mmm\-yyyy</c:formatCode>
                <c:ptCount val="4"/>
                <c:pt idx="0">
                  <c:v>45627</c:v>
                </c:pt>
                <c:pt idx="1">
                  <c:v>45809</c:v>
                </c:pt>
                <c:pt idx="2">
                  <c:v>45992</c:v>
                </c:pt>
                <c:pt idx="3">
                  <c:v>46174</c:v>
                </c:pt>
              </c:numCache>
            </c:numRef>
          </c:cat>
          <c:val>
            <c:numRef>
              <c:f>'Bank Imut'!$C$52:$F$52</c:f>
              <c:numCache>
                <c:formatCode>_-* #,##0_-;\-* #,##0_-;_-* "-"??_-;_-@_-</c:formatCode>
                <c:ptCount val="4"/>
                <c:pt idx="0">
                  <c:v>31992.415184283291</c:v>
                </c:pt>
                <c:pt idx="1">
                  <c:v>32248</c:v>
                </c:pt>
                <c:pt idx="2">
                  <c:v>32094.400000000001</c:v>
                </c:pt>
                <c:pt idx="3">
                  <c:v>32161.9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E70-4B67-AD48-C06B69D583B1}"/>
            </c:ext>
          </c:extLst>
        </c:ser>
        <c:ser>
          <c:idx val="1"/>
          <c:order val="1"/>
          <c:tx>
            <c:strRef>
              <c:f>'Bank Imut'!$B$53</c:f>
              <c:strCache>
                <c:ptCount val="1"/>
                <c:pt idx="0">
                  <c:v>Bank Mestika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'Bank Imut'!$C$37:$F$37</c:f>
              <c:numCache>
                <c:formatCode>mmm\-yyyy</c:formatCode>
                <c:ptCount val="4"/>
                <c:pt idx="0">
                  <c:v>45627</c:v>
                </c:pt>
                <c:pt idx="1">
                  <c:v>45809</c:v>
                </c:pt>
                <c:pt idx="2">
                  <c:v>45992</c:v>
                </c:pt>
                <c:pt idx="3">
                  <c:v>46174</c:v>
                </c:pt>
              </c:numCache>
            </c:numRef>
          </c:cat>
          <c:val>
            <c:numRef>
              <c:f>'Bank Imut'!$C$53:$F$53</c:f>
              <c:numCache>
                <c:formatCode>_-* #,##0_-;\-* #,##0_-;_-* "-"??_-;_-@_-</c:formatCode>
                <c:ptCount val="4"/>
                <c:pt idx="0">
                  <c:v>10833.772026799999</c:v>
                </c:pt>
                <c:pt idx="1">
                  <c:v>11185.984152899999</c:v>
                </c:pt>
                <c:pt idx="2">
                  <c:v>11229.6987653</c:v>
                </c:pt>
                <c:pt idx="3">
                  <c:v>10864.1477299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DE70-4B67-AD48-C06B69D583B1}"/>
            </c:ext>
          </c:extLst>
        </c:ser>
        <c:ser>
          <c:idx val="2"/>
          <c:order val="2"/>
          <c:tx>
            <c:strRef>
              <c:f>'Bank Imut'!$B$54</c:f>
              <c:strCache>
                <c:ptCount val="1"/>
                <c:pt idx="0">
                  <c:v>BPD Aceh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'Bank Imut'!$C$37:$F$37</c:f>
              <c:numCache>
                <c:formatCode>mmm\-yyyy</c:formatCode>
                <c:ptCount val="4"/>
                <c:pt idx="0">
                  <c:v>45627</c:v>
                </c:pt>
                <c:pt idx="1">
                  <c:v>45809</c:v>
                </c:pt>
                <c:pt idx="2">
                  <c:v>45992</c:v>
                </c:pt>
                <c:pt idx="3">
                  <c:v>46174</c:v>
                </c:pt>
              </c:numCache>
            </c:numRef>
          </c:cat>
          <c:val>
            <c:numRef>
              <c:f>'Bank Imut'!$C$54:$F$54</c:f>
              <c:numCache>
                <c:formatCode>_-* #,##0_-;\-* #,##0_-;_-* "-"??_-;_-@_-</c:formatCode>
                <c:ptCount val="4"/>
                <c:pt idx="0">
                  <c:v>20404</c:v>
                </c:pt>
                <c:pt idx="1">
                  <c:v>20613.923648314001</c:v>
                </c:pt>
                <c:pt idx="2">
                  <c:v>21171</c:v>
                </c:pt>
                <c:pt idx="3">
                  <c:v>21966.241784842001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E70-4B67-AD48-C06B69D583B1}"/>
            </c:ext>
          </c:extLst>
        </c:ser>
        <c:ser>
          <c:idx val="3"/>
          <c:order val="3"/>
          <c:tx>
            <c:strRef>
              <c:f>'Bank Imut'!$B$55</c:f>
              <c:strCache>
                <c:ptCount val="1"/>
                <c:pt idx="0">
                  <c:v>Bank Riau Kepri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'Bank Imut'!$C$37:$F$37</c:f>
              <c:numCache>
                <c:formatCode>mmm\-yyyy</c:formatCode>
                <c:ptCount val="4"/>
                <c:pt idx="0">
                  <c:v>45627</c:v>
                </c:pt>
                <c:pt idx="1">
                  <c:v>45809</c:v>
                </c:pt>
                <c:pt idx="2">
                  <c:v>45992</c:v>
                </c:pt>
                <c:pt idx="3">
                  <c:v>46174</c:v>
                </c:pt>
              </c:numCache>
            </c:numRef>
          </c:cat>
          <c:val>
            <c:numRef>
              <c:f>'Bank Imut'!$C$55:$F$55</c:f>
              <c:numCache>
                <c:formatCode>_-* #,##0_-;\-* #,##0_-;_-* "-"??_-;_-@_-</c:formatCode>
                <c:ptCount val="4"/>
                <c:pt idx="0">
                  <c:v>21607.515931599999</c:v>
                </c:pt>
                <c:pt idx="1">
                  <c:v>21550</c:v>
                </c:pt>
                <c:pt idx="2">
                  <c:v>21787</c:v>
                </c:pt>
                <c:pt idx="3">
                  <c:v>21646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DE70-4B67-AD48-C06B69D583B1}"/>
            </c:ext>
          </c:extLst>
        </c:ser>
        <c:ser>
          <c:idx val="4"/>
          <c:order val="4"/>
          <c:tx>
            <c:strRef>
              <c:f>'Bank Imut'!$B$56</c:f>
              <c:strCache>
                <c:ptCount val="1"/>
                <c:pt idx="0">
                  <c:v>Bank Nagari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'Bank Imut'!$C$37:$F$37</c:f>
              <c:numCache>
                <c:formatCode>mmm\-yyyy</c:formatCode>
                <c:ptCount val="4"/>
                <c:pt idx="0">
                  <c:v>45627</c:v>
                </c:pt>
                <c:pt idx="1">
                  <c:v>45809</c:v>
                </c:pt>
                <c:pt idx="2">
                  <c:v>45992</c:v>
                </c:pt>
                <c:pt idx="3">
                  <c:v>46174</c:v>
                </c:pt>
              </c:numCache>
            </c:numRef>
          </c:cat>
          <c:val>
            <c:numRef>
              <c:f>'Bank Imut'!$C$56:$F$56</c:f>
              <c:numCache>
                <c:formatCode>_-* #,##0_-;\-* #,##0_-;_-* "-"??_-;_-@_-</c:formatCode>
                <c:ptCount val="4"/>
                <c:pt idx="0">
                  <c:v>25550.823588200001</c:v>
                </c:pt>
                <c:pt idx="1">
                  <c:v>25381</c:v>
                </c:pt>
                <c:pt idx="2">
                  <c:v>25269.567234563001</c:v>
                </c:pt>
                <c:pt idx="3">
                  <c:v>25420.2152652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DE70-4B67-AD48-C06B69D583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7532464"/>
        <c:axId val="447533296"/>
      </c:lineChart>
      <c:catAx>
        <c:axId val="44753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17000"/>
                </a:schemeClr>
              </a:solidFill>
              <a:round/>
            </a:ln>
            <a:effectLst/>
          </c:spPr>
        </c:majorGridlines>
        <c:numFmt formatCode="mmm\-yyyy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447533296"/>
        <c:crosses val="autoZero"/>
        <c:auto val="0"/>
        <c:lblAlgn val="ctr"/>
        <c:lblOffset val="100"/>
        <c:noMultiLvlLbl val="0"/>
      </c:catAx>
      <c:valAx>
        <c:axId val="447533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21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447532464"/>
        <c:crosses val="autoZero"/>
        <c:crossBetween val="between"/>
        <c:dispUnits>
          <c:builtInUnit val="thousand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900" b="1" i="0" u="none" strike="noStrike" kern="1200" baseline="0">
                      <a:solidFill>
                        <a:sysClr val="windowText" lastClr="000000"/>
                      </a:solidFill>
                      <a:latin typeface="Arial Narrow" panose="020B0606020202030204" pitchFamily="34" charset="0"/>
                      <a:ea typeface="+mn-ea"/>
                      <a:cs typeface="+mn-cs"/>
                    </a:defRPr>
                  </a:pPr>
                  <a:r>
                    <a:rPr lang="en-US"/>
                    <a:t>Rp Triliun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ID"/>
              <a:t>Aset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ysClr val="windowText" lastClr="000000"/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748293715651218"/>
          <c:y val="0.41212775005385421"/>
          <c:w val="0.83580832116390436"/>
          <c:h val="0.43038684639656583"/>
        </c:manualLayout>
      </c:layout>
      <c:lineChart>
        <c:grouping val="standard"/>
        <c:varyColors val="0"/>
        <c:ser>
          <c:idx val="0"/>
          <c:order val="0"/>
          <c:tx>
            <c:strRef>
              <c:f>'BPR-Kinerja Umum'!$B$34</c:f>
              <c:strCache>
                <c:ptCount val="1"/>
                <c:pt idx="0">
                  <c:v>Sumut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'BPR-Kinerja Umum'!$C$33:$F$33</c:f>
              <c:numCache>
                <c:formatCode>mmm\-yyyy</c:formatCode>
                <c:ptCount val="4"/>
                <c:pt idx="0">
                  <c:v>45627</c:v>
                </c:pt>
                <c:pt idx="1">
                  <c:v>45839</c:v>
                </c:pt>
                <c:pt idx="2">
                  <c:v>45992</c:v>
                </c:pt>
                <c:pt idx="3">
                  <c:v>46204</c:v>
                </c:pt>
              </c:numCache>
            </c:numRef>
          </c:cat>
          <c:val>
            <c:numRef>
              <c:f>'BPR-Kinerja Umum'!$C$34:$F$34</c:f>
              <c:numCache>
                <c:formatCode>_-* #,##0_-;\-* #,##0_-;_-* "-"??_-;_-@_-</c:formatCode>
                <c:ptCount val="4"/>
                <c:pt idx="0">
                  <c:v>2889.5634372300001</c:v>
                </c:pt>
                <c:pt idx="1">
                  <c:v>2969.57</c:v>
                </c:pt>
                <c:pt idx="2">
                  <c:v>3180.8967034950001</c:v>
                </c:pt>
                <c:pt idx="3">
                  <c:v>3689.826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3E66-4A5E-B53E-57AF71966EA1}"/>
            </c:ext>
          </c:extLst>
        </c:ser>
        <c:ser>
          <c:idx val="1"/>
          <c:order val="1"/>
          <c:tx>
            <c:strRef>
              <c:f>'BPR-Kinerja Umum'!$B$35</c:f>
              <c:strCache>
                <c:ptCount val="1"/>
                <c:pt idx="0">
                  <c:v>Aceh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'BPR-Kinerja Umum'!$C$33:$F$33</c:f>
              <c:numCache>
                <c:formatCode>mmm\-yyyy</c:formatCode>
                <c:ptCount val="4"/>
                <c:pt idx="0">
                  <c:v>45627</c:v>
                </c:pt>
                <c:pt idx="1">
                  <c:v>45839</c:v>
                </c:pt>
                <c:pt idx="2">
                  <c:v>45992</c:v>
                </c:pt>
                <c:pt idx="3">
                  <c:v>46204</c:v>
                </c:pt>
              </c:numCache>
            </c:numRef>
          </c:cat>
          <c:val>
            <c:numRef>
              <c:f>'BPR-Kinerja Umum'!$C$35:$F$35</c:f>
              <c:numCache>
                <c:formatCode>_-* #,##0_-;\-* #,##0_-;_-* "-"??_-;_-@_-</c:formatCode>
                <c:ptCount val="4"/>
                <c:pt idx="0">
                  <c:v>958.31</c:v>
                </c:pt>
                <c:pt idx="1">
                  <c:v>921</c:v>
                </c:pt>
                <c:pt idx="2">
                  <c:v>933</c:v>
                </c:pt>
                <c:pt idx="3">
                  <c:v>943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3E66-4A5E-B53E-57AF71966EA1}"/>
            </c:ext>
          </c:extLst>
        </c:ser>
        <c:ser>
          <c:idx val="2"/>
          <c:order val="2"/>
          <c:tx>
            <c:strRef>
              <c:f>'BPR-Kinerja Umum'!$B$36</c:f>
              <c:strCache>
                <c:ptCount val="1"/>
                <c:pt idx="0">
                  <c:v>Riau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'BPR-Kinerja Umum'!$C$33:$F$33</c:f>
              <c:numCache>
                <c:formatCode>mmm\-yyyy</c:formatCode>
                <c:ptCount val="4"/>
                <c:pt idx="0">
                  <c:v>45627</c:v>
                </c:pt>
                <c:pt idx="1">
                  <c:v>45839</c:v>
                </c:pt>
                <c:pt idx="2">
                  <c:v>45992</c:v>
                </c:pt>
                <c:pt idx="3">
                  <c:v>46204</c:v>
                </c:pt>
              </c:numCache>
            </c:numRef>
          </c:cat>
          <c:val>
            <c:numRef>
              <c:f>'BPR-Kinerja Umum'!$C$36:$F$36</c:f>
              <c:numCache>
                <c:formatCode>_-* #,##0_-;\-* #,##0_-;_-* "-"??_-;_-@_-</c:formatCode>
                <c:ptCount val="4"/>
                <c:pt idx="0">
                  <c:v>2401.9883395390002</c:v>
                </c:pt>
                <c:pt idx="1">
                  <c:v>2444.77</c:v>
                </c:pt>
                <c:pt idx="2">
                  <c:v>2603.1</c:v>
                </c:pt>
                <c:pt idx="3">
                  <c:v>2634.47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3E66-4A5E-B53E-57AF71966EA1}"/>
            </c:ext>
          </c:extLst>
        </c:ser>
        <c:ser>
          <c:idx val="3"/>
          <c:order val="3"/>
          <c:tx>
            <c:strRef>
              <c:f>'BPR-Kinerja Umum'!$B$37</c:f>
              <c:strCache>
                <c:ptCount val="1"/>
                <c:pt idx="0">
                  <c:v>Sumbar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'BPR-Kinerja Umum'!$C$33:$F$33</c:f>
              <c:numCache>
                <c:formatCode>mmm\-yyyy</c:formatCode>
                <c:ptCount val="4"/>
                <c:pt idx="0">
                  <c:v>45627</c:v>
                </c:pt>
                <c:pt idx="1">
                  <c:v>45839</c:v>
                </c:pt>
                <c:pt idx="2">
                  <c:v>45992</c:v>
                </c:pt>
                <c:pt idx="3">
                  <c:v>46204</c:v>
                </c:pt>
              </c:numCache>
            </c:numRef>
          </c:cat>
          <c:val>
            <c:numRef>
              <c:f>'BPR-Kinerja Umum'!$C$37:$F$37</c:f>
              <c:numCache>
                <c:formatCode>_-* #,##0_-;\-* #,##0_-;_-* "-"??_-;_-@_-</c:formatCode>
                <c:ptCount val="4"/>
                <c:pt idx="0">
                  <c:v>2787.5324080330001</c:v>
                </c:pt>
                <c:pt idx="1">
                  <c:v>2895.1621224989999</c:v>
                </c:pt>
                <c:pt idx="2">
                  <c:v>3114.880797329</c:v>
                </c:pt>
                <c:pt idx="3">
                  <c:v>3035.3600527670001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3E66-4A5E-B53E-57AF71966EA1}"/>
            </c:ext>
          </c:extLst>
        </c:ser>
        <c:ser>
          <c:idx val="4"/>
          <c:order val="4"/>
          <c:tx>
            <c:strRef>
              <c:f>'BPR-Kinerja Umum'!$B$38</c:f>
              <c:strCache>
                <c:ptCount val="1"/>
                <c:pt idx="0">
                  <c:v>Kepri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'BPR-Kinerja Umum'!$C$33:$F$33</c:f>
              <c:numCache>
                <c:formatCode>mmm\-yyyy</c:formatCode>
                <c:ptCount val="4"/>
                <c:pt idx="0">
                  <c:v>45627</c:v>
                </c:pt>
                <c:pt idx="1">
                  <c:v>45839</c:v>
                </c:pt>
                <c:pt idx="2">
                  <c:v>45992</c:v>
                </c:pt>
                <c:pt idx="3">
                  <c:v>46204</c:v>
                </c:pt>
              </c:numCache>
            </c:numRef>
          </c:cat>
          <c:val>
            <c:numRef>
              <c:f>'BPR-Kinerja Umum'!$C$38:$F$38</c:f>
              <c:numCache>
                <c:formatCode>_-* #,##0_-;\-* #,##0_-;_-* "-"??_-;_-@_-</c:formatCode>
                <c:ptCount val="4"/>
                <c:pt idx="0">
                  <c:v>12220</c:v>
                </c:pt>
                <c:pt idx="1">
                  <c:v>12747</c:v>
                </c:pt>
                <c:pt idx="2">
                  <c:v>13880</c:v>
                </c:pt>
                <c:pt idx="3">
                  <c:v>14051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A-5D69-493A-A4C3-FD71E387B4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7532464"/>
        <c:axId val="447533296"/>
      </c:lineChart>
      <c:catAx>
        <c:axId val="44753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17000"/>
                </a:schemeClr>
              </a:solidFill>
              <a:round/>
            </a:ln>
            <a:effectLst/>
          </c:spPr>
        </c:majorGridlines>
        <c:numFmt formatCode="mmm\-yyyy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447533296"/>
        <c:crosses val="autoZero"/>
        <c:auto val="0"/>
        <c:lblAlgn val="ctr"/>
        <c:lblOffset val="100"/>
        <c:noMultiLvlLbl val="0"/>
      </c:catAx>
      <c:valAx>
        <c:axId val="447533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21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447532464"/>
        <c:crosses val="autoZero"/>
        <c:crossBetween val="between"/>
        <c:dispUnits>
          <c:builtInUnit val="thousand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900" b="1" i="0" u="none" strike="noStrike" kern="1200" baseline="0">
                      <a:solidFill>
                        <a:sysClr val="windowText" lastClr="000000"/>
                      </a:solidFill>
                      <a:latin typeface="Arial Narrow" panose="020B0606020202030204" pitchFamily="34" charset="0"/>
                      <a:ea typeface="+mn-ea"/>
                      <a:cs typeface="+mn-cs"/>
                    </a:defRPr>
                  </a:pPr>
                  <a:r>
                    <a:rPr lang="en-ID"/>
                    <a:t> 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ID"/>
              <a:t>DPK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ysClr val="windowText" lastClr="000000"/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748293715651218"/>
          <c:y val="0.41212775005385421"/>
          <c:w val="0.83580832116390436"/>
          <c:h val="0.43038684639656583"/>
        </c:manualLayout>
      </c:layout>
      <c:lineChart>
        <c:grouping val="standard"/>
        <c:varyColors val="0"/>
        <c:ser>
          <c:idx val="0"/>
          <c:order val="0"/>
          <c:tx>
            <c:strRef>
              <c:f>'BPR-Kinerja Umum'!$B$41</c:f>
              <c:strCache>
                <c:ptCount val="1"/>
                <c:pt idx="0">
                  <c:v>Sumut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'BPR-Kinerja Umum'!$C$33:$F$33</c:f>
              <c:numCache>
                <c:formatCode>mmm\-yyyy</c:formatCode>
                <c:ptCount val="4"/>
                <c:pt idx="0">
                  <c:v>45627</c:v>
                </c:pt>
                <c:pt idx="1">
                  <c:v>45839</c:v>
                </c:pt>
                <c:pt idx="2">
                  <c:v>45992</c:v>
                </c:pt>
                <c:pt idx="3">
                  <c:v>46204</c:v>
                </c:pt>
              </c:numCache>
            </c:numRef>
          </c:cat>
          <c:val>
            <c:numRef>
              <c:f>'BPR-Kinerja Umum'!$C$41:$F$41</c:f>
              <c:numCache>
                <c:formatCode>_-* #,##0_-;\-* #,##0_-;_-* "-"??_-;_-@_-</c:formatCode>
                <c:ptCount val="4"/>
                <c:pt idx="0">
                  <c:v>2165.43661969</c:v>
                </c:pt>
                <c:pt idx="1">
                  <c:v>2206.154</c:v>
                </c:pt>
                <c:pt idx="2">
                  <c:v>2331.8936355119999</c:v>
                </c:pt>
                <c:pt idx="3">
                  <c:v>2730.2890000000002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A8BA-4B22-9AC7-878FEAAE94EF}"/>
            </c:ext>
          </c:extLst>
        </c:ser>
        <c:ser>
          <c:idx val="1"/>
          <c:order val="1"/>
          <c:tx>
            <c:strRef>
              <c:f>'BPR-Kinerja Umum'!$B$42</c:f>
              <c:strCache>
                <c:ptCount val="1"/>
                <c:pt idx="0">
                  <c:v>Aceh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'BPR-Kinerja Umum'!$C$33:$F$33</c:f>
              <c:numCache>
                <c:formatCode>mmm\-yyyy</c:formatCode>
                <c:ptCount val="4"/>
                <c:pt idx="0">
                  <c:v>45627</c:v>
                </c:pt>
                <c:pt idx="1">
                  <c:v>45839</c:v>
                </c:pt>
                <c:pt idx="2">
                  <c:v>45992</c:v>
                </c:pt>
                <c:pt idx="3">
                  <c:v>46204</c:v>
                </c:pt>
              </c:numCache>
            </c:numRef>
          </c:cat>
          <c:val>
            <c:numRef>
              <c:f>'BPR-Kinerja Umum'!$C$42:$F$42</c:f>
              <c:numCache>
                <c:formatCode>_-* #,##0_-;\-* #,##0_-;_-* "-"??_-;_-@_-</c:formatCode>
                <c:ptCount val="4"/>
                <c:pt idx="0">
                  <c:v>581.11</c:v>
                </c:pt>
                <c:pt idx="1">
                  <c:v>569</c:v>
                </c:pt>
                <c:pt idx="2">
                  <c:v>583</c:v>
                </c:pt>
                <c:pt idx="3">
                  <c:v>588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8BA-4B22-9AC7-878FEAAE94EF}"/>
            </c:ext>
          </c:extLst>
        </c:ser>
        <c:ser>
          <c:idx val="2"/>
          <c:order val="2"/>
          <c:tx>
            <c:strRef>
              <c:f>'BPR-Kinerja Umum'!$B$43</c:f>
              <c:strCache>
                <c:ptCount val="1"/>
                <c:pt idx="0">
                  <c:v>Riau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'BPR-Kinerja Umum'!$C$33:$F$33</c:f>
              <c:numCache>
                <c:formatCode>mmm\-yyyy</c:formatCode>
                <c:ptCount val="4"/>
                <c:pt idx="0">
                  <c:v>45627</c:v>
                </c:pt>
                <c:pt idx="1">
                  <c:v>45839</c:v>
                </c:pt>
                <c:pt idx="2">
                  <c:v>45992</c:v>
                </c:pt>
                <c:pt idx="3">
                  <c:v>46204</c:v>
                </c:pt>
              </c:numCache>
            </c:numRef>
          </c:cat>
          <c:val>
            <c:numRef>
              <c:f>'BPR-Kinerja Umum'!$C$43:$F$43</c:f>
              <c:numCache>
                <c:formatCode>_-* #,##0_-;\-* #,##0_-;_-* "-"??_-;_-@_-</c:formatCode>
                <c:ptCount val="4"/>
                <c:pt idx="0">
                  <c:v>1537.3946262039999</c:v>
                </c:pt>
                <c:pt idx="1">
                  <c:v>1591.55</c:v>
                </c:pt>
                <c:pt idx="2">
                  <c:v>1687.85</c:v>
                </c:pt>
                <c:pt idx="3">
                  <c:v>1761.84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8BA-4B22-9AC7-878FEAAE94EF}"/>
            </c:ext>
          </c:extLst>
        </c:ser>
        <c:ser>
          <c:idx val="3"/>
          <c:order val="3"/>
          <c:tx>
            <c:strRef>
              <c:f>'BPR-Kinerja Umum'!$B$44</c:f>
              <c:strCache>
                <c:ptCount val="1"/>
                <c:pt idx="0">
                  <c:v>Sumbar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'BPR-Kinerja Umum'!$C$33:$F$33</c:f>
              <c:numCache>
                <c:formatCode>mmm\-yyyy</c:formatCode>
                <c:ptCount val="4"/>
                <c:pt idx="0">
                  <c:v>45627</c:v>
                </c:pt>
                <c:pt idx="1">
                  <c:v>45839</c:v>
                </c:pt>
                <c:pt idx="2">
                  <c:v>45992</c:v>
                </c:pt>
                <c:pt idx="3">
                  <c:v>46204</c:v>
                </c:pt>
              </c:numCache>
            </c:numRef>
          </c:cat>
          <c:val>
            <c:numRef>
              <c:f>'BPR-Kinerja Umum'!$C$44:$F$44</c:f>
              <c:numCache>
                <c:formatCode>_-* #,##0_-;\-* #,##0_-;_-* "-"??_-;_-@_-</c:formatCode>
                <c:ptCount val="4"/>
                <c:pt idx="0">
                  <c:v>2076.9745849659998</c:v>
                </c:pt>
                <c:pt idx="1">
                  <c:v>2003.45313575</c:v>
                </c:pt>
                <c:pt idx="2">
                  <c:v>2286.5986578369998</c:v>
                </c:pt>
                <c:pt idx="3">
                  <c:v>2217.2963604880001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A8BA-4B22-9AC7-878FEAAE94EF}"/>
            </c:ext>
          </c:extLst>
        </c:ser>
        <c:ser>
          <c:idx val="4"/>
          <c:order val="4"/>
          <c:tx>
            <c:strRef>
              <c:f>'BPR-Kinerja Umum'!$B$45</c:f>
              <c:strCache>
                <c:ptCount val="1"/>
                <c:pt idx="0">
                  <c:v>Kepri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'BPR-Kinerja Umum'!$C$33:$F$33</c:f>
              <c:numCache>
                <c:formatCode>mmm\-yyyy</c:formatCode>
                <c:ptCount val="4"/>
                <c:pt idx="0">
                  <c:v>45627</c:v>
                </c:pt>
                <c:pt idx="1">
                  <c:v>45839</c:v>
                </c:pt>
                <c:pt idx="2">
                  <c:v>45992</c:v>
                </c:pt>
                <c:pt idx="3">
                  <c:v>46204</c:v>
                </c:pt>
              </c:numCache>
            </c:numRef>
          </c:cat>
          <c:val>
            <c:numRef>
              <c:f>'BPR-Kinerja Umum'!$C$45:$F$45</c:f>
              <c:numCache>
                <c:formatCode>_-* #,##0_-;\-* #,##0_-;_-* "-"??_-;_-@_-</c:formatCode>
                <c:ptCount val="4"/>
                <c:pt idx="0">
                  <c:v>9691</c:v>
                </c:pt>
                <c:pt idx="1">
                  <c:v>10328</c:v>
                </c:pt>
                <c:pt idx="2">
                  <c:v>10804</c:v>
                </c:pt>
                <c:pt idx="3">
                  <c:v>10983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A8BA-4B22-9AC7-878FEAAE94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7532464"/>
        <c:axId val="447533296"/>
      </c:lineChart>
      <c:catAx>
        <c:axId val="44753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17000"/>
                </a:schemeClr>
              </a:solidFill>
              <a:round/>
            </a:ln>
            <a:effectLst/>
          </c:spPr>
        </c:majorGridlines>
        <c:numFmt formatCode="mmm\-yyyy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447533296"/>
        <c:crosses val="autoZero"/>
        <c:auto val="0"/>
        <c:lblAlgn val="ctr"/>
        <c:lblOffset val="100"/>
        <c:noMultiLvlLbl val="0"/>
      </c:catAx>
      <c:valAx>
        <c:axId val="447533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21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447532464"/>
        <c:crosses val="autoZero"/>
        <c:crossBetween val="between"/>
        <c:dispUnits>
          <c:builtInUnit val="thousand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900" b="1" i="0" u="none" strike="noStrike" kern="1200" baseline="0">
                      <a:solidFill>
                        <a:sysClr val="windowText" lastClr="000000"/>
                      </a:solidFill>
                      <a:latin typeface="Arial Narrow" panose="020B0606020202030204" pitchFamily="34" charset="0"/>
                      <a:ea typeface="+mn-ea"/>
                      <a:cs typeface="+mn-cs"/>
                    </a:defRPr>
                  </a:pPr>
                  <a:r>
                    <a:rPr lang="en-ID"/>
                    <a:t> 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ID"/>
              <a:t>Kredit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ysClr val="windowText" lastClr="000000"/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748293715651218"/>
          <c:y val="0.41212775005385421"/>
          <c:w val="0.83580832116390436"/>
          <c:h val="0.43038684639656583"/>
        </c:manualLayout>
      </c:layout>
      <c:lineChart>
        <c:grouping val="standard"/>
        <c:varyColors val="0"/>
        <c:ser>
          <c:idx val="0"/>
          <c:order val="0"/>
          <c:tx>
            <c:strRef>
              <c:f>'BPR-Kinerja Umum'!$B$48</c:f>
              <c:strCache>
                <c:ptCount val="1"/>
                <c:pt idx="0">
                  <c:v>Sumut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'BPR-Kinerja Umum'!$C$33:$F$33</c:f>
              <c:numCache>
                <c:formatCode>mmm\-yyyy</c:formatCode>
                <c:ptCount val="4"/>
                <c:pt idx="0">
                  <c:v>45627</c:v>
                </c:pt>
                <c:pt idx="1">
                  <c:v>45839</c:v>
                </c:pt>
                <c:pt idx="2">
                  <c:v>45992</c:v>
                </c:pt>
                <c:pt idx="3">
                  <c:v>46204</c:v>
                </c:pt>
              </c:numCache>
            </c:numRef>
          </c:cat>
          <c:val>
            <c:numRef>
              <c:f>'BPR-Kinerja Umum'!$C$48:$F$48</c:f>
              <c:numCache>
                <c:formatCode>_-* #,##0_-;\-* #,##0_-;_-* "-"??_-;_-@_-</c:formatCode>
                <c:ptCount val="4"/>
                <c:pt idx="0">
                  <c:v>2170.270681942</c:v>
                </c:pt>
                <c:pt idx="1">
                  <c:v>2216.4520000000002</c:v>
                </c:pt>
                <c:pt idx="2">
                  <c:v>2326.613255879</c:v>
                </c:pt>
                <c:pt idx="3">
                  <c:v>2747.73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7C37-4918-8491-6C9E0CA37DD0}"/>
            </c:ext>
          </c:extLst>
        </c:ser>
        <c:ser>
          <c:idx val="1"/>
          <c:order val="1"/>
          <c:tx>
            <c:strRef>
              <c:f>'BPR-Kinerja Umum'!$B$49</c:f>
              <c:strCache>
                <c:ptCount val="1"/>
                <c:pt idx="0">
                  <c:v>Aceh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'BPR-Kinerja Umum'!$C$33:$F$33</c:f>
              <c:numCache>
                <c:formatCode>mmm\-yyyy</c:formatCode>
                <c:ptCount val="4"/>
                <c:pt idx="0">
                  <c:v>45627</c:v>
                </c:pt>
                <c:pt idx="1">
                  <c:v>45839</c:v>
                </c:pt>
                <c:pt idx="2">
                  <c:v>45992</c:v>
                </c:pt>
                <c:pt idx="3">
                  <c:v>46204</c:v>
                </c:pt>
              </c:numCache>
            </c:numRef>
          </c:cat>
          <c:val>
            <c:numRef>
              <c:f>'BPR-Kinerja Umum'!$C$49:$F$49</c:f>
              <c:numCache>
                <c:formatCode>_-* #,##0_-;\-* #,##0_-;_-* "-"??_-;_-@_-</c:formatCode>
                <c:ptCount val="4"/>
                <c:pt idx="0">
                  <c:v>720.14</c:v>
                </c:pt>
                <c:pt idx="1">
                  <c:v>714</c:v>
                </c:pt>
                <c:pt idx="2">
                  <c:v>697</c:v>
                </c:pt>
                <c:pt idx="3">
                  <c:v>714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C37-4918-8491-6C9E0CA37DD0}"/>
            </c:ext>
          </c:extLst>
        </c:ser>
        <c:ser>
          <c:idx val="2"/>
          <c:order val="2"/>
          <c:tx>
            <c:strRef>
              <c:f>'BPR-Kinerja Umum'!$B$50</c:f>
              <c:strCache>
                <c:ptCount val="1"/>
                <c:pt idx="0">
                  <c:v>Riau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'BPR-Kinerja Umum'!$C$33:$F$33</c:f>
              <c:numCache>
                <c:formatCode>mmm\-yyyy</c:formatCode>
                <c:ptCount val="4"/>
                <c:pt idx="0">
                  <c:v>45627</c:v>
                </c:pt>
                <c:pt idx="1">
                  <c:v>45839</c:v>
                </c:pt>
                <c:pt idx="2">
                  <c:v>45992</c:v>
                </c:pt>
                <c:pt idx="3">
                  <c:v>46204</c:v>
                </c:pt>
              </c:numCache>
            </c:numRef>
          </c:cat>
          <c:val>
            <c:numRef>
              <c:f>'BPR-Kinerja Umum'!$C$50:$F$50</c:f>
              <c:numCache>
                <c:formatCode>_-* #,##0_-;\-* #,##0_-;_-* "-"??_-;_-@_-</c:formatCode>
                <c:ptCount val="4"/>
                <c:pt idx="0">
                  <c:v>1762.1137568669999</c:v>
                </c:pt>
                <c:pt idx="1">
                  <c:v>1832.32</c:v>
                </c:pt>
                <c:pt idx="2">
                  <c:v>1831.73</c:v>
                </c:pt>
                <c:pt idx="3">
                  <c:v>1868.65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7C37-4918-8491-6C9E0CA37DD0}"/>
            </c:ext>
          </c:extLst>
        </c:ser>
        <c:ser>
          <c:idx val="3"/>
          <c:order val="3"/>
          <c:tx>
            <c:strRef>
              <c:f>'BPR-Kinerja Umum'!$B$51</c:f>
              <c:strCache>
                <c:ptCount val="1"/>
                <c:pt idx="0">
                  <c:v>Sumbar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'BPR-Kinerja Umum'!$C$33:$F$33</c:f>
              <c:numCache>
                <c:formatCode>mmm\-yyyy</c:formatCode>
                <c:ptCount val="4"/>
                <c:pt idx="0">
                  <c:v>45627</c:v>
                </c:pt>
                <c:pt idx="1">
                  <c:v>45839</c:v>
                </c:pt>
                <c:pt idx="2">
                  <c:v>45992</c:v>
                </c:pt>
                <c:pt idx="3">
                  <c:v>46204</c:v>
                </c:pt>
              </c:numCache>
            </c:numRef>
          </c:cat>
          <c:val>
            <c:numRef>
              <c:f>'BPR-Kinerja Umum'!$C$51:$F$51</c:f>
              <c:numCache>
                <c:formatCode>_-* #,##0_-;\-* #,##0_-;_-* "-"??_-;_-@_-</c:formatCode>
                <c:ptCount val="4"/>
                <c:pt idx="0">
                  <c:v>2092.874260476</c:v>
                </c:pt>
                <c:pt idx="1">
                  <c:v>2244.1836817909998</c:v>
                </c:pt>
                <c:pt idx="2">
                  <c:v>2254.182035715</c:v>
                </c:pt>
                <c:pt idx="3">
                  <c:v>2236.4259494560001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C37-4918-8491-6C9E0CA37DD0}"/>
            </c:ext>
          </c:extLst>
        </c:ser>
        <c:ser>
          <c:idx val="4"/>
          <c:order val="4"/>
          <c:tx>
            <c:strRef>
              <c:f>'BPR-Kinerja Umum'!$B$52</c:f>
              <c:strCache>
                <c:ptCount val="1"/>
                <c:pt idx="0">
                  <c:v>Kepri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'BPR-Kinerja Umum'!$C$33:$F$33</c:f>
              <c:numCache>
                <c:formatCode>mmm\-yyyy</c:formatCode>
                <c:ptCount val="4"/>
                <c:pt idx="0">
                  <c:v>45627</c:v>
                </c:pt>
                <c:pt idx="1">
                  <c:v>45839</c:v>
                </c:pt>
                <c:pt idx="2">
                  <c:v>45992</c:v>
                </c:pt>
                <c:pt idx="3">
                  <c:v>46204</c:v>
                </c:pt>
              </c:numCache>
            </c:numRef>
          </c:cat>
          <c:val>
            <c:numRef>
              <c:f>'BPR-Kinerja Umum'!$C$52:$F$52</c:f>
              <c:numCache>
                <c:formatCode>_-* #,##0_-;\-* #,##0_-;_-* "-"??_-;_-@_-</c:formatCode>
                <c:ptCount val="4"/>
                <c:pt idx="0">
                  <c:v>9484</c:v>
                </c:pt>
                <c:pt idx="1">
                  <c:v>10180</c:v>
                </c:pt>
                <c:pt idx="2">
                  <c:v>10780</c:v>
                </c:pt>
                <c:pt idx="3">
                  <c:v>11078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C37-4918-8491-6C9E0CA37D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7532464"/>
        <c:axId val="447533296"/>
      </c:lineChart>
      <c:catAx>
        <c:axId val="44753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17000"/>
                </a:schemeClr>
              </a:solidFill>
              <a:round/>
            </a:ln>
            <a:effectLst/>
          </c:spPr>
        </c:majorGridlines>
        <c:numFmt formatCode="mmm\-yyyy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447533296"/>
        <c:crosses val="autoZero"/>
        <c:auto val="0"/>
        <c:lblAlgn val="ctr"/>
        <c:lblOffset val="100"/>
        <c:noMultiLvlLbl val="0"/>
      </c:catAx>
      <c:valAx>
        <c:axId val="447533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21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447532464"/>
        <c:crosses val="autoZero"/>
        <c:crossBetween val="between"/>
        <c:dispUnits>
          <c:builtInUnit val="thousand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900" b="1" i="0" u="none" strike="noStrike" kern="1200" baseline="0">
                      <a:solidFill>
                        <a:sysClr val="windowText" lastClr="000000"/>
                      </a:solidFill>
                      <a:latin typeface="Arial Narrow" panose="020B0606020202030204" pitchFamily="34" charset="0"/>
                      <a:ea typeface="+mn-ea"/>
                      <a:cs typeface="+mn-cs"/>
                    </a:defRPr>
                  </a:pPr>
                  <a:r>
                    <a:rPr lang="en-ID"/>
                    <a:t> 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ID"/>
              <a:t>Perkembangan Ekonomi Sumbagut (Triliun)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ysClr val="windowText" lastClr="000000"/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'++'!$C$19</c:f>
              <c:strCache>
                <c:ptCount val="1"/>
                <c:pt idx="0">
                  <c:v>Q1 2025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 w="9525" cap="flat" cmpd="sng" algn="ctr">
              <a:noFill/>
              <a:miter lim="800000"/>
            </a:ln>
            <a:effectLst/>
          </c:spPr>
          <c:invertIfNegative val="0"/>
          <c:cat>
            <c:strRef>
              <c:f>'++'!$B$20:$B$24</c:f>
              <c:strCache>
                <c:ptCount val="5"/>
                <c:pt idx="0">
                  <c:v>Aceh</c:v>
                </c:pt>
                <c:pt idx="1">
                  <c:v>Sumut</c:v>
                </c:pt>
                <c:pt idx="2">
                  <c:v>Sumbar</c:v>
                </c:pt>
                <c:pt idx="3">
                  <c:v>Riau</c:v>
                </c:pt>
                <c:pt idx="4">
                  <c:v>Kep. Riau</c:v>
                </c:pt>
              </c:strCache>
            </c:strRef>
          </c:cat>
          <c:val>
            <c:numRef>
              <c:f>'++'!$C$20:$C$24</c:f>
              <c:numCache>
                <c:formatCode>_-* #,##0.0_-;\-* #,##0.0_-;_-* "-"??_-;_-@_-</c:formatCode>
                <c:ptCount val="5"/>
                <c:pt idx="0">
                  <c:v>61.747</c:v>
                </c:pt>
                <c:pt idx="1">
                  <c:v>296.49046000000004</c:v>
                </c:pt>
                <c:pt idx="2">
                  <c:v>86.218210000000013</c:v>
                </c:pt>
                <c:pt idx="3">
                  <c:v>293.6746</c:v>
                </c:pt>
                <c:pt idx="4">
                  <c:v>91.298690000000008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F0-46CE-ABDA-C51BF0E3D90D}"/>
            </c:ext>
          </c:extLst>
        </c:ser>
        <c:ser>
          <c:idx val="1"/>
          <c:order val="1"/>
          <c:tx>
            <c:strRef>
              <c:f>'++'!$D$19</c:f>
              <c:strCache>
                <c:ptCount val="1"/>
                <c:pt idx="0">
                  <c:v>Q2 2025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  <a:ln w="9525" cap="flat" cmpd="sng" algn="ctr">
              <a:noFill/>
              <a:miter lim="800000"/>
            </a:ln>
            <a:effectLst/>
          </c:spPr>
          <c:invertIfNegative val="0"/>
          <c:cat>
            <c:strRef>
              <c:f>'++'!$B$20:$B$24</c:f>
              <c:strCache>
                <c:ptCount val="5"/>
                <c:pt idx="0">
                  <c:v>Aceh</c:v>
                </c:pt>
                <c:pt idx="1">
                  <c:v>Sumut</c:v>
                </c:pt>
                <c:pt idx="2">
                  <c:v>Sumbar</c:v>
                </c:pt>
                <c:pt idx="3">
                  <c:v>Riau</c:v>
                </c:pt>
                <c:pt idx="4">
                  <c:v>Kep. Riau</c:v>
                </c:pt>
              </c:strCache>
            </c:strRef>
          </c:cat>
          <c:val>
            <c:numRef>
              <c:f>'++'!$D$20:$D$24</c:f>
              <c:numCache>
                <c:formatCode>_-* #,##0.0_-;\-* #,##0.0_-;_-* "-"??_-;_-@_-</c:formatCode>
                <c:ptCount val="5"/>
                <c:pt idx="0">
                  <c:v>63.840339999999998</c:v>
                </c:pt>
                <c:pt idx="1">
                  <c:v>306.73878000000002</c:v>
                </c:pt>
                <c:pt idx="2">
                  <c:v>88.342160000000007</c:v>
                </c:pt>
                <c:pt idx="3">
                  <c:v>293.42964000000001</c:v>
                </c:pt>
                <c:pt idx="4">
                  <c:v>93.700810000000004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F0-46CE-ABDA-C51BF0E3D90D}"/>
            </c:ext>
          </c:extLst>
        </c:ser>
        <c:ser>
          <c:idx val="2"/>
          <c:order val="2"/>
          <c:tx>
            <c:strRef>
              <c:f>'++'!$E$19</c:f>
              <c:strCache>
                <c:ptCount val="1"/>
                <c:pt idx="0">
                  <c:v>Q3 2025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 w="9525" cap="flat" cmpd="sng" algn="ctr">
              <a:noFill/>
              <a:miter lim="800000"/>
            </a:ln>
            <a:effectLst/>
          </c:spPr>
          <c:invertIfNegative val="0"/>
          <c:cat>
            <c:strRef>
              <c:f>'++'!$B$20:$B$24</c:f>
              <c:strCache>
                <c:ptCount val="5"/>
                <c:pt idx="0">
                  <c:v>Aceh</c:v>
                </c:pt>
                <c:pt idx="1">
                  <c:v>Sumut</c:v>
                </c:pt>
                <c:pt idx="2">
                  <c:v>Sumbar</c:v>
                </c:pt>
                <c:pt idx="3">
                  <c:v>Riau</c:v>
                </c:pt>
                <c:pt idx="4">
                  <c:v>Kep. Riau</c:v>
                </c:pt>
              </c:strCache>
            </c:strRef>
          </c:cat>
          <c:val>
            <c:numRef>
              <c:f>'++'!$E$20:$E$24</c:f>
              <c:numCache>
                <c:formatCode>_-* #,##0.0_-;\-* #,##0.0_-;_-* "-"??_-;_-@_-</c:formatCode>
                <c:ptCount val="5"/>
                <c:pt idx="0">
                  <c:v>65.563940000000002</c:v>
                </c:pt>
                <c:pt idx="1">
                  <c:v>315.56213000000002</c:v>
                </c:pt>
                <c:pt idx="2">
                  <c:v>88.356320000000011</c:v>
                </c:pt>
                <c:pt idx="3">
                  <c:v>306.72209999999995</c:v>
                </c:pt>
                <c:pt idx="4">
                  <c:v>94.593140000000005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7F0-46CE-ABDA-C51BF0E3D90D}"/>
            </c:ext>
          </c:extLst>
        </c:ser>
        <c:ser>
          <c:idx val="3"/>
          <c:order val="3"/>
          <c:tx>
            <c:strRef>
              <c:f>'++'!$F$19</c:f>
              <c:strCache>
                <c:ptCount val="1"/>
                <c:pt idx="0">
                  <c:v>Q4 2025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 w="9525" cap="flat" cmpd="sng" algn="ctr">
              <a:noFill/>
              <a:miter lim="800000"/>
            </a:ln>
            <a:effectLst/>
          </c:spPr>
          <c:invertIfNegative val="0"/>
          <c:cat>
            <c:strRef>
              <c:f>'++'!$B$20:$B$24</c:f>
              <c:strCache>
                <c:ptCount val="5"/>
                <c:pt idx="0">
                  <c:v>Aceh</c:v>
                </c:pt>
                <c:pt idx="1">
                  <c:v>Sumut</c:v>
                </c:pt>
                <c:pt idx="2">
                  <c:v>Sumbar</c:v>
                </c:pt>
                <c:pt idx="3">
                  <c:v>Riau</c:v>
                </c:pt>
                <c:pt idx="4">
                  <c:v>Kep. Riau</c:v>
                </c:pt>
              </c:strCache>
            </c:strRef>
          </c:cat>
          <c:val>
            <c:numRef>
              <c:f>'++'!$F$20:$F$24</c:f>
              <c:numCache>
                <c:formatCode>_-* #,##0.0_-;\-* #,##0.0_-;_-* "-"??_-;_-@_-</c:formatCode>
                <c:ptCount val="5"/>
                <c:pt idx="0">
                  <c:v>66.35114999999999</c:v>
                </c:pt>
                <c:pt idx="1">
                  <c:v>317.40219999999999</c:v>
                </c:pt>
                <c:pt idx="2">
                  <c:v>89.272710000000004</c:v>
                </c:pt>
                <c:pt idx="3">
                  <c:v>307.55743000000001</c:v>
                </c:pt>
                <c:pt idx="4">
                  <c:v>102.13724000000001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7F0-46CE-ABDA-C51BF0E3D90D}"/>
            </c:ext>
          </c:extLst>
        </c:ser>
        <c:ser>
          <c:idx val="4"/>
          <c:order val="4"/>
          <c:tx>
            <c:strRef>
              <c:f>'++'!$G$19</c:f>
              <c:strCache>
                <c:ptCount val="1"/>
                <c:pt idx="0">
                  <c:v>Q1 2026</c:v>
                </c:pt>
              </c:strCache>
            </c:strRef>
          </c:tx>
          <c:spPr>
            <a:solidFill>
              <a:srgbClr val="B69BF9"/>
            </a:solidFill>
            <a:ln w="9525" cap="flat" cmpd="sng" algn="ctr">
              <a:noFill/>
              <a:miter lim="800000"/>
            </a:ln>
            <a:effectLst/>
          </c:spPr>
          <c:invertIfNegative val="0"/>
          <c:cat>
            <c:strRef>
              <c:f>'++'!$B$20:$B$24</c:f>
              <c:strCache>
                <c:ptCount val="5"/>
                <c:pt idx="0">
                  <c:v>Aceh</c:v>
                </c:pt>
                <c:pt idx="1">
                  <c:v>Sumut</c:v>
                </c:pt>
                <c:pt idx="2">
                  <c:v>Sumbar</c:v>
                </c:pt>
                <c:pt idx="3">
                  <c:v>Riau</c:v>
                </c:pt>
                <c:pt idx="4">
                  <c:v>Kep. Riau</c:v>
                </c:pt>
              </c:strCache>
            </c:strRef>
          </c:cat>
          <c:val>
            <c:numRef>
              <c:f>'++'!$G$20:$G$24</c:f>
              <c:numCache>
                <c:formatCode>_-* #,##0.0_-;\-* #,##0.0_-;_-* "-"??_-;_-@_-</c:formatCode>
                <c:ptCount val="5"/>
                <c:pt idx="0">
                  <c:v>66.390919999999994</c:v>
                </c:pt>
                <c:pt idx="1">
                  <c:v>320.02918</c:v>
                </c:pt>
                <c:pt idx="2">
                  <c:v>92.950659999999999</c:v>
                </c:pt>
                <c:pt idx="3">
                  <c:v>317.06056999999998</c:v>
                </c:pt>
                <c:pt idx="4">
                  <c:v>99.380369999999999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7F0-46CE-ABDA-C51BF0E3D90D}"/>
            </c:ext>
          </c:extLst>
        </c:ser>
        <c:ser>
          <c:idx val="5"/>
          <c:order val="5"/>
          <c:tx>
            <c:strRef>
              <c:f>'++'!$H$19</c:f>
              <c:strCache>
                <c:ptCount val="1"/>
                <c:pt idx="0">
                  <c:v>Q2 2026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9525" cap="flat" cmpd="sng" algn="ctr">
              <a:noFill/>
              <a:miter lim="800000"/>
            </a:ln>
            <a:effectLst/>
          </c:spPr>
          <c:invertIfNegative val="0"/>
          <c:cat>
            <c:strRef>
              <c:f>'++'!$B$20:$B$24</c:f>
              <c:strCache>
                <c:ptCount val="5"/>
                <c:pt idx="0">
                  <c:v>Aceh</c:v>
                </c:pt>
                <c:pt idx="1">
                  <c:v>Sumut</c:v>
                </c:pt>
                <c:pt idx="2">
                  <c:v>Sumbar</c:v>
                </c:pt>
                <c:pt idx="3">
                  <c:v>Riau</c:v>
                </c:pt>
                <c:pt idx="4">
                  <c:v>Kep. Riau</c:v>
                </c:pt>
              </c:strCache>
            </c:strRef>
          </c:cat>
          <c:val>
            <c:numRef>
              <c:f>'++'!$H$20:$H$24</c:f>
              <c:numCache>
                <c:formatCode>_-* #,##0.0_-;\-* #,##0.0_-;_-* "-"??_-;_-@_-</c:formatCode>
                <c:ptCount val="5"/>
                <c:pt idx="0">
                  <c:v>69.691679999999991</c:v>
                </c:pt>
                <c:pt idx="1">
                  <c:v>341.04866999999996</c:v>
                </c:pt>
                <c:pt idx="2">
                  <c:v>95.501360000000005</c:v>
                </c:pt>
                <c:pt idx="3">
                  <c:v>340.34298999999999</c:v>
                </c:pt>
                <c:pt idx="4">
                  <c:v>104.8078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7F0-46CE-ABDA-C51BF0E3D9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5"/>
        <c:overlap val="-40"/>
        <c:axId val="2122023472"/>
        <c:axId val="2122023888"/>
      </c:barChart>
      <c:catAx>
        <c:axId val="212202347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2122023888"/>
        <c:crosses val="autoZero"/>
        <c:auto val="1"/>
        <c:lblAlgn val="ctr"/>
        <c:lblOffset val="100"/>
        <c:noMultiLvlLbl val="0"/>
      </c:catAx>
      <c:valAx>
        <c:axId val="21220238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212202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080" b="0" i="0" u="none" strike="noStrike" kern="1200" cap="none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ID" b="1"/>
              <a:t>Pertumbuhan Eonomi</a:t>
            </a:r>
            <a:r>
              <a:rPr lang="en-ID" b="1" baseline="0"/>
              <a:t> YoY</a:t>
            </a:r>
            <a:endParaRPr lang="en-ID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80" b="0" i="0" u="none" strike="noStrike" kern="1200" cap="none" baseline="0">
              <a:solidFill>
                <a:sysClr val="windowText" lastClr="000000"/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ID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'++'!$B$27</c:f>
              <c:strCache>
                <c:ptCount val="1"/>
                <c:pt idx="0">
                  <c:v>Aceh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720-421B-A453-C8D056C190A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720-421B-A453-C8D056C190A1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720-421B-A453-C8D056C190A1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A720-421B-A453-C8D056C190A1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720-421B-A453-C8D056C190A1}"/>
                </c:ext>
              </c:extLst>
            </c:dLbl>
            <c:dLbl>
              <c:idx val="5"/>
              <c:layout>
                <c:manualLayout>
                  <c:x val="-8.2792499647367113E-3"/>
                  <c:y val="-7.4520162818626848E-2"/>
                </c:manualLayout>
              </c:layout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720-421B-A453-C8D056C190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ysClr val="windowText" lastClr="000000"/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'++'!$C$26:$H$26</c:f>
              <c:strCache>
                <c:ptCount val="6"/>
                <c:pt idx="0">
                  <c:v>Q1 2025</c:v>
                </c:pt>
                <c:pt idx="1">
                  <c:v>Q2 2025</c:v>
                </c:pt>
                <c:pt idx="2">
                  <c:v>Q3 2025</c:v>
                </c:pt>
                <c:pt idx="3">
                  <c:v>Q4 2025</c:v>
                </c:pt>
                <c:pt idx="4">
                  <c:v>Q1 2026</c:v>
                </c:pt>
                <c:pt idx="5">
                  <c:v>Q2 2026</c:v>
                </c:pt>
              </c:strCache>
            </c:strRef>
          </c:cat>
          <c:val>
            <c:numRef>
              <c:f>'++'!$C$27:$H$27</c:f>
              <c:numCache>
                <c:formatCode>0.00%</c:formatCode>
                <c:ptCount val="6"/>
                <c:pt idx="0">
                  <c:v>4.588541113191047E-2</c:v>
                </c:pt>
                <c:pt idx="1">
                  <c:v>4.8153255315606991E-2</c:v>
                </c:pt>
                <c:pt idx="2">
                  <c:v>4.4558634306792522E-2</c:v>
                </c:pt>
                <c:pt idx="3">
                  <c:v>-1.606255346698604E-2</c:v>
                </c:pt>
                <c:pt idx="4">
                  <c:v>4.093019232808337E-2</c:v>
                </c:pt>
                <c:pt idx="5">
                  <c:v>4.8564122653436348E-2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8232-4847-986B-E8285E5B59AA}"/>
            </c:ext>
          </c:extLst>
        </c:ser>
        <c:ser>
          <c:idx val="1"/>
          <c:order val="1"/>
          <c:tx>
            <c:strRef>
              <c:f>'++'!$B$28</c:f>
              <c:strCache>
                <c:ptCount val="1"/>
                <c:pt idx="0">
                  <c:v>Sumut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720-421B-A453-C8D056C190A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720-421B-A453-C8D056C190A1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A720-421B-A453-C8D056C190A1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A720-421B-A453-C8D056C190A1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A720-421B-A453-C8D056C190A1}"/>
                </c:ext>
              </c:extLst>
            </c:dLbl>
            <c:dLbl>
              <c:idx val="5"/>
              <c:layout>
                <c:manualLayout>
                  <c:x val="1.1276803202553811E-2"/>
                  <c:y val="-0.20366305605857524"/>
                </c:manualLayout>
              </c:layout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720-421B-A453-C8D056C190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ysClr val="windowText" lastClr="000000"/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'++'!$C$26:$H$26</c:f>
              <c:strCache>
                <c:ptCount val="6"/>
                <c:pt idx="0">
                  <c:v>Q1 2025</c:v>
                </c:pt>
                <c:pt idx="1">
                  <c:v>Q2 2025</c:v>
                </c:pt>
                <c:pt idx="2">
                  <c:v>Q3 2025</c:v>
                </c:pt>
                <c:pt idx="3">
                  <c:v>Q4 2025</c:v>
                </c:pt>
                <c:pt idx="4">
                  <c:v>Q1 2026</c:v>
                </c:pt>
                <c:pt idx="5">
                  <c:v>Q2 2026</c:v>
                </c:pt>
              </c:strCache>
            </c:strRef>
          </c:cat>
          <c:val>
            <c:numRef>
              <c:f>'++'!$C$28:$H$28</c:f>
              <c:numCache>
                <c:formatCode>0.00%</c:formatCode>
                <c:ptCount val="6"/>
                <c:pt idx="0">
                  <c:v>4.6669493593934241E-2</c:v>
                </c:pt>
                <c:pt idx="1">
                  <c:v>4.689154715528443E-2</c:v>
                </c:pt>
                <c:pt idx="2">
                  <c:v>4.5506078029247776E-2</c:v>
                </c:pt>
                <c:pt idx="3">
                  <c:v>4.2346287028187213E-2</c:v>
                </c:pt>
                <c:pt idx="4">
                  <c:v>4.9838212993664532E-2</c:v>
                </c:pt>
                <c:pt idx="5">
                  <c:v>5.0593855828015899E-2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8232-4847-986B-E8285E5B59AA}"/>
            </c:ext>
          </c:extLst>
        </c:ser>
        <c:ser>
          <c:idx val="2"/>
          <c:order val="2"/>
          <c:tx>
            <c:strRef>
              <c:f>'++'!$B$29</c:f>
              <c:strCache>
                <c:ptCount val="1"/>
                <c:pt idx="0">
                  <c:v>Sumbar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720-421B-A453-C8D056C190A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720-421B-A453-C8D056C190A1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720-421B-A453-C8D056C190A1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720-421B-A453-C8D056C190A1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720-421B-A453-C8D056C190A1}"/>
                </c:ext>
              </c:extLst>
            </c:dLbl>
            <c:dLbl>
              <c:idx val="5"/>
              <c:layout>
                <c:manualLayout>
                  <c:x val="-0.10609257315073656"/>
                  <c:y val="0.16993296600185037"/>
                </c:manualLayout>
              </c:layout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720-421B-A453-C8D056C190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ysClr val="windowText" lastClr="000000"/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'++'!$C$26:$H$26</c:f>
              <c:strCache>
                <c:ptCount val="6"/>
                <c:pt idx="0">
                  <c:v>Q1 2025</c:v>
                </c:pt>
                <c:pt idx="1">
                  <c:v>Q2 2025</c:v>
                </c:pt>
                <c:pt idx="2">
                  <c:v>Q3 2025</c:v>
                </c:pt>
                <c:pt idx="3">
                  <c:v>Q4 2025</c:v>
                </c:pt>
                <c:pt idx="4">
                  <c:v>Q1 2026</c:v>
                </c:pt>
                <c:pt idx="5">
                  <c:v>Q2 2026</c:v>
                </c:pt>
              </c:strCache>
            </c:strRef>
          </c:cat>
          <c:val>
            <c:numRef>
              <c:f>'++'!$C$29:$H$29</c:f>
              <c:numCache>
                <c:formatCode>0.00%</c:formatCode>
                <c:ptCount val="6"/>
                <c:pt idx="0">
                  <c:v>4.5457223317803219E-2</c:v>
                </c:pt>
                <c:pt idx="1">
                  <c:v>3.9365202392842802E-2</c:v>
                </c:pt>
                <c:pt idx="2">
                  <c:v>3.3643529998018673E-2</c:v>
                </c:pt>
                <c:pt idx="3">
                  <c:v>1.6943760538487895E-2</c:v>
                </c:pt>
                <c:pt idx="4">
                  <c:v>5.0065383346684866E-2</c:v>
                </c:pt>
                <c:pt idx="5">
                  <c:v>4.5431646084924227E-2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8232-4847-986B-E8285E5B59AA}"/>
            </c:ext>
          </c:extLst>
        </c:ser>
        <c:ser>
          <c:idx val="3"/>
          <c:order val="3"/>
          <c:tx>
            <c:strRef>
              <c:f>'++'!$B$30</c:f>
              <c:strCache>
                <c:ptCount val="1"/>
                <c:pt idx="0">
                  <c:v>Riau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A720-421B-A453-C8D056C190A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720-421B-A453-C8D056C190A1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A720-421B-A453-C8D056C190A1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A720-421B-A453-C8D056C190A1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A720-421B-A453-C8D056C190A1}"/>
                </c:ext>
              </c:extLst>
            </c:dLbl>
            <c:dLbl>
              <c:idx val="5"/>
              <c:layout>
                <c:manualLayout>
                  <c:x val="8.4821382399728196E-3"/>
                  <c:y val="0.14219764485150715"/>
                </c:manualLayout>
              </c:layout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720-421B-A453-C8D056C190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ysClr val="windowText" lastClr="000000"/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'++'!$C$26:$H$26</c:f>
              <c:strCache>
                <c:ptCount val="6"/>
                <c:pt idx="0">
                  <c:v>Q1 2025</c:v>
                </c:pt>
                <c:pt idx="1">
                  <c:v>Q2 2025</c:v>
                </c:pt>
                <c:pt idx="2">
                  <c:v>Q3 2025</c:v>
                </c:pt>
                <c:pt idx="3">
                  <c:v>Q4 2025</c:v>
                </c:pt>
                <c:pt idx="4">
                  <c:v>Q1 2026</c:v>
                </c:pt>
                <c:pt idx="5">
                  <c:v>Q2 2026</c:v>
                </c:pt>
              </c:strCache>
            </c:strRef>
          </c:cat>
          <c:val>
            <c:numRef>
              <c:f>'++'!$C$30:$H$30</c:f>
              <c:numCache>
                <c:formatCode>0.00%</c:formatCode>
                <c:ptCount val="6"/>
                <c:pt idx="0">
                  <c:v>4.6523281370691061E-2</c:v>
                </c:pt>
                <c:pt idx="1">
                  <c:v>4.5903548405070049E-2</c:v>
                </c:pt>
                <c:pt idx="2">
                  <c:v>4.9756508102665187E-2</c:v>
                </c:pt>
                <c:pt idx="3">
                  <c:v>4.9391673893820043E-2</c:v>
                </c:pt>
                <c:pt idx="4">
                  <c:v>4.8908292856922664E-2</c:v>
                </c:pt>
                <c:pt idx="5">
                  <c:v>4.7502144419466763E-2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8232-4847-986B-E8285E5B59AA}"/>
            </c:ext>
          </c:extLst>
        </c:ser>
        <c:ser>
          <c:idx val="4"/>
          <c:order val="4"/>
          <c:tx>
            <c:strRef>
              <c:f>'++'!$B$31</c:f>
              <c:strCache>
                <c:ptCount val="1"/>
                <c:pt idx="0">
                  <c:v>Kep. Riau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A720-421B-A453-C8D056C190A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A720-421B-A453-C8D056C190A1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A720-421B-A453-C8D056C190A1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A720-421B-A453-C8D056C190A1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A720-421B-A453-C8D056C190A1}"/>
                </c:ext>
              </c:extLst>
            </c:dLbl>
            <c:dLbl>
              <c:idx val="5"/>
              <c:layout>
                <c:manualLayout>
                  <c:x val="-1.3837552507243573E-2"/>
                  <c:y val="-0.19905782442831232"/>
                </c:manualLayout>
              </c:layout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720-421B-A453-C8D056C190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ysClr val="windowText" lastClr="000000"/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'++'!$C$26:$H$26</c:f>
              <c:strCache>
                <c:ptCount val="6"/>
                <c:pt idx="0">
                  <c:v>Q1 2025</c:v>
                </c:pt>
                <c:pt idx="1">
                  <c:v>Q2 2025</c:v>
                </c:pt>
                <c:pt idx="2">
                  <c:v>Q3 2025</c:v>
                </c:pt>
                <c:pt idx="3">
                  <c:v>Q4 2025</c:v>
                </c:pt>
                <c:pt idx="4">
                  <c:v>Q1 2026</c:v>
                </c:pt>
                <c:pt idx="5">
                  <c:v>Q2 2026</c:v>
                </c:pt>
              </c:strCache>
            </c:strRef>
          </c:cat>
          <c:val>
            <c:numRef>
              <c:f>'++'!$C$31:$H$31</c:f>
              <c:numCache>
                <c:formatCode>0.00%</c:formatCode>
                <c:ptCount val="6"/>
                <c:pt idx="0">
                  <c:v>5.1575998369212561E-2</c:v>
                </c:pt>
                <c:pt idx="1">
                  <c:v>7.1361590725168789E-2</c:v>
                </c:pt>
                <c:pt idx="2">
                  <c:v>7.4793403107563217E-2</c:v>
                </c:pt>
                <c:pt idx="3">
                  <c:v>7.8936190223973579E-2</c:v>
                </c:pt>
                <c:pt idx="4">
                  <c:v>7.0444013995851096E-2</c:v>
                </c:pt>
                <c:pt idx="5">
                  <c:v>6.9941837706751109E-2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8232-4847-986B-E8285E5B59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3571872"/>
        <c:axId val="1803573536"/>
      </c:lineChart>
      <c:catAx>
        <c:axId val="180357187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803573536"/>
        <c:crosses val="autoZero"/>
        <c:auto val="1"/>
        <c:lblAlgn val="ctr"/>
        <c:lblOffset val="100"/>
        <c:noMultiLvlLbl val="0"/>
      </c:catAx>
      <c:valAx>
        <c:axId val="180357353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803571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900" b="0" i="0" u="none" strike="noStrike" kern="1200" baseline="0">
          <a:solidFill>
            <a:sysClr val="windowText" lastClr="000000"/>
          </a:solidFill>
          <a:latin typeface="Arial Narrow" panose="020B0606020202030204" pitchFamily="34" charset="0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31377</xdr:colOff>
      <xdr:row>12</xdr:row>
      <xdr:rowOff>155527</xdr:rowOff>
    </xdr:from>
    <xdr:to>
      <xdr:col>20</xdr:col>
      <xdr:colOff>273269</xdr:colOff>
      <xdr:row>23</xdr:row>
      <xdr:rowOff>87038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585E6B3-8D9A-42BD-9618-76AA718117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27</xdr:row>
      <xdr:rowOff>0</xdr:rowOff>
    </xdr:from>
    <xdr:to>
      <xdr:col>20</xdr:col>
      <xdr:colOff>323850</xdr:colOff>
      <xdr:row>38</xdr:row>
      <xdr:rowOff>12700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52209936-13B2-4B31-A7DA-8EBF1662FA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42</xdr:row>
      <xdr:rowOff>0</xdr:rowOff>
    </xdr:from>
    <xdr:to>
      <xdr:col>20</xdr:col>
      <xdr:colOff>361950</xdr:colOff>
      <xdr:row>53</xdr:row>
      <xdr:rowOff>28575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3AA4E711-F36B-4048-BC0C-6EE1BC418D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34</xdr:row>
      <xdr:rowOff>141287</xdr:rowOff>
    </xdr:from>
    <xdr:to>
      <xdr:col>16</xdr:col>
      <xdr:colOff>295275</xdr:colOff>
      <xdr:row>46</xdr:row>
      <xdr:rowOff>25401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CFF80CD-63F3-427C-8E64-25F1EC6D3B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47</xdr:row>
      <xdr:rowOff>0</xdr:rowOff>
    </xdr:from>
    <xdr:to>
      <xdr:col>16</xdr:col>
      <xdr:colOff>377825</xdr:colOff>
      <xdr:row>58</xdr:row>
      <xdr:rowOff>33338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ABA74AF-51A5-4DD5-9000-ED2D188088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60</xdr:row>
      <xdr:rowOff>0</xdr:rowOff>
    </xdr:from>
    <xdr:to>
      <xdr:col>16</xdr:col>
      <xdr:colOff>377825</xdr:colOff>
      <xdr:row>71</xdr:row>
      <xdr:rowOff>30163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3B597F7-6084-47A6-9720-6893D784B0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323849</xdr:colOff>
      <xdr:row>30</xdr:row>
      <xdr:rowOff>133348</xdr:rowOff>
    </xdr:from>
    <xdr:to>
      <xdr:col>16</xdr:col>
      <xdr:colOff>392479</xdr:colOff>
      <xdr:row>41</xdr:row>
      <xdr:rowOff>143364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8F64E48-6159-4EB4-A25E-A6513C2962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43</xdr:row>
      <xdr:rowOff>0</xdr:rowOff>
    </xdr:from>
    <xdr:to>
      <xdr:col>16</xdr:col>
      <xdr:colOff>315912</xdr:colOff>
      <xdr:row>53</xdr:row>
      <xdr:rowOff>173037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DEFB843-5859-49F0-88B9-516C891759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55</xdr:row>
      <xdr:rowOff>0</xdr:rowOff>
    </xdr:from>
    <xdr:to>
      <xdr:col>16</xdr:col>
      <xdr:colOff>312737</xdr:colOff>
      <xdr:row>65</xdr:row>
      <xdr:rowOff>173037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AE54B1C-8CE3-46EA-BE26-1030020B43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595350</xdr:colOff>
      <xdr:row>7</xdr:row>
      <xdr:rowOff>153808</xdr:rowOff>
    </xdr:from>
    <xdr:to>
      <xdr:col>16</xdr:col>
      <xdr:colOff>288826</xdr:colOff>
      <xdr:row>22</xdr:row>
      <xdr:rowOff>27469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D9A9F66-4D48-4CC8-93FD-E957C01D48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22412</xdr:colOff>
      <xdr:row>22</xdr:row>
      <xdr:rowOff>144929</xdr:rowOff>
    </xdr:from>
    <xdr:to>
      <xdr:col>16</xdr:col>
      <xdr:colOff>306294</xdr:colOff>
      <xdr:row>37</xdr:row>
      <xdr:rowOff>11952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C5CFCE2-4AC4-4545-9FA9-A668D9520A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Ahmed%20Park\PCS7%20OJK\KOREG\Buku%20Saku\Agustus%202026\dwbu\1-Aset_OP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Ahmed%20Park\PCS7%20OJK\KOREG\Buku%20Saku\Agustus%202026\dwbu\1-DPK_OPS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Ahmed%20Park\PCS7%20OJK\KOREG\Buku%20Saku\Agustus%202026\dwbu\1-Kredit_OPS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Ahmed%20Park\PCS7%20OJK\KOREG\Buku%20Saku\Agustus%202026\dwbu\1-LAR_OPS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Ahmed%20Park\PCS7%20OJK\KOREG\Buku%20Saku\Agustus%202026\dwbu\1-Kredit%20Skala%20Usaha_OPS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Ahmed%20Park\PCS7%20OJK\KOREG\Buku%20Saku\Agustus%202026\dwbu\1-Kredit%20Sektor%20Ekonomi_OPS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Ahmed%20Park\PCS7%20OJK\KOREG\Buku%20Saku\November%202025\dwbu\1-Aset%20Per%20BUD%20Sumbagut_OPS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Ahmed%20Park\PCS7%20OJK\KOREG\Buku%20Saku\November%202025\dwbu\1-DPK%20BUD%20Sumbagut_OPS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Ahmed%20Park\PCS7%20OJK\KOREG\Buku%20Saku\November%202025\dwbu\1-Kredit%20BUD%20Sumbagut_OPS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Ahmed%20Park\PCS7%20OJK\KOREG\Buku%20Saku\November%202025\dwbu\1-NPL%20BUD%20Sumbagut_OPS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Ahmed%20Park\PCS7%20OJK\KOREG\Permintaan%20Data%20Bulanan%20KO\Desember%202025\KOMN\Update%20BU%20(Des-25)_EM_revFT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Ahmed%20Park\PCS7%20OJK\KOREG\Permintaan%20Data%20Bulanan%20KO\Desember%202025\KOMN\Update%20BU_BMD%20(Des-25)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Ahmed%20Park\PCS7%20OJK\KOREG\Permintaan%20Data%20Bulanan%20KO\Desember%202025\KOAC\BAS%20DES%2025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Ahmed%20Park\PCS7%20OJK\KOREG\Permintaan%20Data%20Bulanan%20KO\Desember%202025\KOPB\KOPB_Update%20BU%20(Des-25)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Ahmed%20Park\PCS7%20OJK\KOREG\Permintaan%20Data%20Bulanan%20KO\Desember%202025\KOPD\Kinerja%20PT%20Bank%20Nagari%20Des-25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Ahmed%20Park\PCS7%20OJK\KOREG\Permintaan%20Data%20Bulanan%20KO\September%202026\KOMN\Update%20BU%20(Jul-26)_newest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Ahmed%20Park\PCS7%20OJK\KOREG\Permintaan%20Data%20Bulanan%20KO\September%202026\KOMN\Update%20BU-BMD%20(Jul-26)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Ahmed%20Park\PCS7%20OJK\KOREG\Permintaan%20Data%20Bulanan%20KO\September%202026\KOAC\Bank%20Aceh_Final%20972026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Ahmed%20Park\PCS7%20OJK\KOREG\Permintaan%20Data%20Bulanan%20KO\September%202026\KOPB\KOPB_Update%20BU%20(Jul-26)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Ahmed%20Park\PCS7%20OJK\KOREG\Permintaan%20Data%20Bulanan%20KO\September%202026\KOPD\Juli%202026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Ahmed%20Park\PCS7%20OJK\KOREG\Buku%20Saku\September%202025\dwbu\Aset%20Set%20Off%20BPR%20BPRS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Ahmed%20Park\PCS7%20OJK\KOREG\Buku%20Saku\September%202025\dwbu\DPK%20BPR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Ahmed%20Park\PCS7%20OJK\KOREG\Buku%20Saku\September%202025\dwbu\DPK%20DEPOSITO%20BPRS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Ahmed%20Park\PCS7%20OJK\KOREG\Buku%20Saku\September%202025\dwbu\DPK%20TABUNGAN%20BPRS.xlsx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Ahmed%20Park\PCS7%20OJK\KOREG\Buku%20Saku\September%202025\dwbu\Kredit%20BPR%20BPRS_OPS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Ahmed%20Park\PCS7%20OJK\KOREG\Buku%20Saku\Agustus%202026\periskop\pp%20next%20year.xlsx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Ahmed%20Park\PCS7%20OJK\KOREG\Buku%20Saku\Agustus%202026\periskop\pp%20last%20year.xlsx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Ahmed%20Park\PCS7%20OJK\KOREG\Buku%20Saku\Agustus%202026\periskop\pmv%20next%20year.xlsx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Ahmed%20Park\PCS7%20OJK\KOREG\Buku%20Saku\Agustus%202026\periskop\pmv%20last%20year.xlsx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Ahmed%20Park\PCS7%20OJK\KOREG\Buku%20Saku\DATA%20FINTECH%20YR\P2P_MEI_JUN_26.xlsx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Ahmed%20Park\PCS7%20OJK\KOREG\Permintaan%20Data%20Bulanan%20KO\September%202026\KOMN\Update%20IKNB_KOMN%20(Jul-26).xlsx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Ahmed%20Park\PCS7%20OJK\KOREG\Permintaan%20Data%20Bulanan%20KO\September%202026\KOPB\2026.07%20Update%20IKNB%20(Juli-26)_KOPB.xlsx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Ahmed%20Park\PCS7%20OJK\KOREG\Permintaan%20Data%20Bulanan%20KO\Agustus%202026\KOBT\Update_IKNB,_Pasar_Modal,_dan_BPR_KOBT_posisi_Juni_2026\Update%20IKNB%20(Jun-26).xlsx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Ahmed%20Park\PCS7%20OJK\KOREG\Permintaan%20Data%20Bulanan%20KO\September%202026\KOBT\Update%20IKNB%20(Jul-26)_KOBT.xlsx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Ahmed%20Park\PCS7%20OJK\KOREG\Permintaan%20Data%20Bulanan%20KO\September%202026\KOAC\7.%20Update%20IKNB%20(Jul-26)_KOAC.xlsx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Ahmed%20Park\PCS7%20OJK\KOREG\Permintaan%20Data%20Bulanan%20KO\April%202026\KOPB\Update%20IKNB%20(Feb-26)_KOPB.xlsx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Ahmed%20Park\PCS7%20OJK\KOREG\Permintaan%20Data%20Bulanan%20KO\Agustus%202026\KOPD\Penyampaian_Permintaan_Data_Bulanan_KOJK_Provinsi_Sumatera_Barat_posisi_Juni_2026\Update%20IKNB%20(Jun-26)_KOPD.xlsx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Ahmed%20Park\PCS7%20OJK\KOREG\Buku%20Saku\Agustus%202026\periskop\Rekap%20Premi%20Klaim%20Polis%20Dati%20Bulanan%202026%20-%20Gabungan%20(update%20Mei)-%20rev.xlsx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Ahmed%20Park\PCS7%20OJK\KOREG\Buku%20Saku\Agustus%202026\periskop\dapen.xlsx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Ahmed%20Park\PCS7%20OJK\KOREG\Buku%20Saku\Agustus%202026\periskop\Penjaminan%20.xlsx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Ahmed%20Park\PCS7%20OJK\KOREG\Buku%20Saku\Agustus%202026\periskop\pm%20sid.xlsx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Ahmed%20Park\PCS7%20OJK\KOREG\Buku%20Saku\Agustus%202026\periskop\trx%20saham.xlsx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Ahmed%20Park\PCS7%20OJK\KOREG\Buku%20Saku\November%202025\periskop\pm%20next%20year.xlsx" TargetMode="External"/></Relationships>
</file>

<file path=xl/externalLinks/_rels/externalLink4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Ahmed%20Park\PCS7%20OJK\KOREG\Buku%20Saku\November%202025\periskop\pm%20last%20ye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ge1_1"/>
    </sheetNames>
    <sheetDataSet>
      <sheetData sheetId="0">
        <row r="19">
          <cell r="G19">
            <v>56481235064135</v>
          </cell>
          <cell r="L19">
            <v>55998751553276</v>
          </cell>
          <cell r="Q19">
            <v>59838461147061</v>
          </cell>
        </row>
        <row r="20">
          <cell r="G20">
            <v>104966571430084</v>
          </cell>
          <cell r="L20">
            <v>108909502405286</v>
          </cell>
          <cell r="Q20">
            <v>115985627645804</v>
          </cell>
        </row>
        <row r="21">
          <cell r="G21">
            <v>142160769031354</v>
          </cell>
          <cell r="L21">
            <v>144447114061202</v>
          </cell>
          <cell r="Q21">
            <v>150931452071859</v>
          </cell>
        </row>
        <row r="22">
          <cell r="G22">
            <v>81222634949077</v>
          </cell>
          <cell r="L22">
            <v>82255885528213</v>
          </cell>
          <cell r="Q22">
            <v>87009895551829</v>
          </cell>
        </row>
        <row r="23">
          <cell r="G23">
            <v>360103685825053</v>
          </cell>
          <cell r="L23">
            <v>356348620676951</v>
          </cell>
          <cell r="Q23">
            <v>374793961226009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ge1_1"/>
    </sheetNames>
    <sheetDataSet>
      <sheetData sheetId="0">
        <row r="13">
          <cell r="F13">
            <v>45658446609886</v>
          </cell>
          <cell r="G13">
            <v>44976444051621</v>
          </cell>
          <cell r="H13">
            <v>50613963254348</v>
          </cell>
        </row>
        <row r="21">
          <cell r="F21">
            <v>100765236353972</v>
          </cell>
          <cell r="G21">
            <v>105825363672613</v>
          </cell>
          <cell r="H21">
            <v>111695602697456</v>
          </cell>
        </row>
        <row r="29">
          <cell r="F29">
            <v>131488629869291</v>
          </cell>
          <cell r="G29">
            <v>133683338278623</v>
          </cell>
          <cell r="H29">
            <v>139913706118491</v>
          </cell>
        </row>
        <row r="37">
          <cell r="F37">
            <v>55610267204624</v>
          </cell>
          <cell r="G37">
            <v>56690692057338</v>
          </cell>
          <cell r="H37">
            <v>66053295969912</v>
          </cell>
        </row>
        <row r="45">
          <cell r="F45">
            <v>331844964780692</v>
          </cell>
          <cell r="G45">
            <v>332161135110188</v>
          </cell>
          <cell r="H45">
            <v>347564971751526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ge1_1"/>
    </sheetNames>
    <sheetDataSet>
      <sheetData sheetId="0">
        <row r="14">
          <cell r="F14">
            <v>9895910404815</v>
          </cell>
          <cell r="H14">
            <v>11262953297949</v>
          </cell>
        </row>
        <row r="15">
          <cell r="F15">
            <v>10417581826142</v>
          </cell>
          <cell r="H15">
            <v>13213884219368</v>
          </cell>
        </row>
        <row r="17">
          <cell r="F17">
            <v>32393006182022</v>
          </cell>
          <cell r="H17">
            <v>37263504699092</v>
          </cell>
        </row>
        <row r="18">
          <cell r="F18">
            <v>52706498412979</v>
          </cell>
          <cell r="G18">
            <v>53156411517083</v>
          </cell>
          <cell r="H18">
            <v>61740342216409</v>
          </cell>
          <cell r="R18">
            <v>2.1500620660000001E-2</v>
          </cell>
          <cell r="S18">
            <v>2.2363785420000001E-2</v>
          </cell>
          <cell r="T18">
            <v>2.3561531875999998E-2</v>
          </cell>
          <cell r="X18">
            <v>9.0534596459999998E-3</v>
          </cell>
          <cell r="Y18">
            <v>9.3136878540000002E-3</v>
          </cell>
          <cell r="Z18">
            <v>7.6865298040000004E-3</v>
          </cell>
        </row>
        <row r="20">
          <cell r="F20">
            <v>37766783823374</v>
          </cell>
          <cell r="H20">
            <v>56031619437582</v>
          </cell>
        </row>
        <row r="21">
          <cell r="F21">
            <v>23307207562963</v>
          </cell>
          <cell r="H21">
            <v>34221069207117</v>
          </cell>
        </row>
        <row r="23">
          <cell r="F23">
            <v>28074640445530</v>
          </cell>
          <cell r="H23">
            <v>29464646474557</v>
          </cell>
        </row>
        <row r="24">
          <cell r="F24">
            <v>89148631831867</v>
          </cell>
          <cell r="G24">
            <v>99554902396226</v>
          </cell>
          <cell r="H24">
            <v>119717335119256</v>
          </cell>
          <cell r="R24">
            <v>2.7810896288999999E-2</v>
          </cell>
          <cell r="S24">
            <v>2.3422563401000001E-2</v>
          </cell>
          <cell r="T24">
            <v>9.9214647949999995E-3</v>
          </cell>
          <cell r="X24">
            <v>1.1990730995000001E-2</v>
          </cell>
          <cell r="Y24">
            <v>9.7908129760000007E-3</v>
          </cell>
          <cell r="Z24">
            <v>5.0408429770000002E-3</v>
          </cell>
        </row>
        <row r="26">
          <cell r="F26">
            <v>58628364098466</v>
          </cell>
          <cell r="H26">
            <v>62086089127023</v>
          </cell>
        </row>
        <row r="27">
          <cell r="F27">
            <v>62225851682126</v>
          </cell>
          <cell r="H27">
            <v>76313018511802</v>
          </cell>
        </row>
        <row r="29">
          <cell r="F29">
            <v>46886711748970</v>
          </cell>
          <cell r="H29">
            <v>49182865988667</v>
          </cell>
        </row>
        <row r="30">
          <cell r="F30">
            <v>167740927529562</v>
          </cell>
          <cell r="G30">
            <v>174113181740619</v>
          </cell>
          <cell r="H30">
            <v>187581973627492</v>
          </cell>
          <cell r="R30">
            <v>1.6091225872000001E-2</v>
          </cell>
          <cell r="S30">
            <v>1.4853770929000001E-2</v>
          </cell>
          <cell r="T30">
            <v>1.4132923982000001E-2</v>
          </cell>
          <cell r="X30">
            <v>6.5485553470000001E-3</v>
          </cell>
          <cell r="Y30">
            <v>5.9512539770000001E-3</v>
          </cell>
          <cell r="Z30">
            <v>5.4770194230000001E-3</v>
          </cell>
        </row>
        <row r="32">
          <cell r="F32">
            <v>13518742275758</v>
          </cell>
          <cell r="H32">
            <v>15852919824949</v>
          </cell>
        </row>
        <row r="33">
          <cell r="F33">
            <v>27058928906588</v>
          </cell>
          <cell r="H33">
            <v>29934988218177</v>
          </cell>
        </row>
        <row r="35">
          <cell r="F35">
            <v>36967409446410</v>
          </cell>
          <cell r="H35">
            <v>38501825511565</v>
          </cell>
        </row>
        <row r="36">
          <cell r="F36">
            <v>77545080628756</v>
          </cell>
          <cell r="G36">
            <v>78751631128359</v>
          </cell>
          <cell r="H36">
            <v>84289733554691</v>
          </cell>
          <cell r="R36">
            <v>2.4500693292000001E-2</v>
          </cell>
          <cell r="S36">
            <v>2.4162375680000001E-2</v>
          </cell>
          <cell r="T36">
            <v>2.7177235128999999E-2</v>
          </cell>
          <cell r="X36">
            <v>8.9702236859999993E-3</v>
          </cell>
          <cell r="Y36">
            <v>9.1592528570000002E-3</v>
          </cell>
          <cell r="Z36">
            <v>1.1157085404000001E-2</v>
          </cell>
        </row>
        <row r="38">
          <cell r="F38">
            <v>79965383820931</v>
          </cell>
          <cell r="H38">
            <v>91740429545205</v>
          </cell>
        </row>
        <row r="39">
          <cell r="F39">
            <v>136523831226660</v>
          </cell>
          <cell r="H39">
            <v>146815667862003</v>
          </cell>
        </row>
        <row r="41">
          <cell r="F41">
            <v>92163967526133</v>
          </cell>
          <cell r="H41">
            <v>95278585432448</v>
          </cell>
        </row>
        <row r="42">
          <cell r="F42">
            <v>308653182573724</v>
          </cell>
          <cell r="G42">
            <v>312192445885591</v>
          </cell>
          <cell r="H42">
            <v>333834682839656</v>
          </cell>
          <cell r="R42">
            <v>1.9082930328E-2</v>
          </cell>
          <cell r="S42">
            <v>1.8779505956999999E-2</v>
          </cell>
          <cell r="T42">
            <v>1.9560726042000001E-2</v>
          </cell>
          <cell r="X42">
            <v>7.8184944120000006E-3</v>
          </cell>
          <cell r="Y42">
            <v>7.3926369439999999E-3</v>
          </cell>
          <cell r="Z42">
            <v>7.7896847720000002E-3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ge1_1"/>
    </sheetNames>
    <sheetDataSet>
      <sheetData sheetId="0">
        <row r="11">
          <cell r="D11">
            <v>556081957451</v>
          </cell>
          <cell r="E11">
            <v>50146778680813</v>
          </cell>
          <cell r="G11">
            <v>2559719732166</v>
          </cell>
        </row>
        <row r="12">
          <cell r="D12">
            <v>11826668489463</v>
          </cell>
          <cell r="E12">
            <v>50578776953248</v>
          </cell>
          <cell r="G12">
            <v>2577634563835</v>
          </cell>
        </row>
        <row r="13">
          <cell r="D13">
            <v>13710678299419</v>
          </cell>
          <cell r="E13">
            <v>58741241857365</v>
          </cell>
          <cell r="G13">
            <v>2999100359044</v>
          </cell>
        </row>
        <row r="17">
          <cell r="D17">
            <v>1972076171201</v>
          </cell>
          <cell r="E17">
            <v>81323212617643</v>
          </cell>
          <cell r="G17">
            <v>7825419214224</v>
          </cell>
        </row>
        <row r="18">
          <cell r="D18">
            <v>1977323324168</v>
          </cell>
          <cell r="E18">
            <v>93146324853366</v>
          </cell>
          <cell r="G18">
            <v>6408577542860</v>
          </cell>
        </row>
        <row r="19">
          <cell r="D19">
            <v>1985937678683</v>
          </cell>
          <cell r="E19">
            <v>113238010429970</v>
          </cell>
          <cell r="G19">
            <v>6479324689286</v>
          </cell>
        </row>
        <row r="23">
          <cell r="D23">
            <v>2047500683627</v>
          </cell>
          <cell r="E23">
            <v>160647175170293</v>
          </cell>
          <cell r="G23">
            <v>7093752359269</v>
          </cell>
        </row>
        <row r="24">
          <cell r="D24">
            <v>2080624106507</v>
          </cell>
          <cell r="E24">
            <v>167526217288719</v>
          </cell>
          <cell r="G24">
            <v>6586964451900</v>
          </cell>
        </row>
        <row r="25">
          <cell r="D25">
            <v>2096955068312</v>
          </cell>
          <cell r="E25">
            <v>180716466742496</v>
          </cell>
          <cell r="G25">
            <v>6865506884996</v>
          </cell>
        </row>
        <row r="29">
          <cell r="D29">
            <v>2549591477485</v>
          </cell>
          <cell r="E29">
            <v>72503118641270</v>
          </cell>
          <cell r="G29">
            <v>5041961987486</v>
          </cell>
        </row>
        <row r="30">
          <cell r="D30">
            <v>2905161219099</v>
          </cell>
          <cell r="E30">
            <v>74128551136949</v>
          </cell>
          <cell r="G30">
            <v>4623079991410</v>
          </cell>
        </row>
        <row r="31">
          <cell r="D31">
            <v>2852359538915</v>
          </cell>
          <cell r="E31">
            <v>79418251880496</v>
          </cell>
          <cell r="G31">
            <v>4871481674195</v>
          </cell>
        </row>
        <row r="35">
          <cell r="D35">
            <v>3733386048574</v>
          </cell>
          <cell r="E35">
            <v>293205578016080</v>
          </cell>
          <cell r="G35">
            <v>15447604557644</v>
          </cell>
        </row>
        <row r="36">
          <cell r="D36">
            <v>4775429270545</v>
          </cell>
          <cell r="E36">
            <v>297584248868561</v>
          </cell>
          <cell r="G36">
            <v>14608197017030</v>
          </cell>
        </row>
        <row r="37">
          <cell r="D37">
            <v>6070795771722</v>
          </cell>
          <cell r="E37">
            <v>319215601162970</v>
          </cell>
          <cell r="G37">
            <v>14619081676686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ge1_1"/>
    </sheetNames>
    <sheetDataSet>
      <sheetData sheetId="0">
        <row r="4">
          <cell r="E4">
            <v>92163967526133</v>
          </cell>
          <cell r="G4">
            <v>95278585432448</v>
          </cell>
        </row>
        <row r="6">
          <cell r="G6">
            <v>2.4621317789000001E-2</v>
          </cell>
        </row>
        <row r="7">
          <cell r="E7">
            <v>135775184982974</v>
          </cell>
          <cell r="G7">
            <v>157845717402528</v>
          </cell>
        </row>
        <row r="9">
          <cell r="G9">
            <v>5.3889981890000004E-3</v>
          </cell>
        </row>
        <row r="13">
          <cell r="E13">
            <v>80714030064617</v>
          </cell>
          <cell r="G13">
            <v>80710380004680</v>
          </cell>
        </row>
        <row r="15">
          <cell r="G15">
            <v>4.1302421798999997E-2</v>
          </cell>
        </row>
        <row r="16">
          <cell r="E16">
            <v>36967409446410</v>
          </cell>
          <cell r="G16">
            <v>38501825511565</v>
          </cell>
        </row>
        <row r="18">
          <cell r="G18">
            <v>1.4804659114E-2</v>
          </cell>
        </row>
        <row r="19">
          <cell r="E19">
            <v>10303885443335</v>
          </cell>
          <cell r="G19">
            <v>15362478144104</v>
          </cell>
        </row>
        <row r="21">
          <cell r="G21">
            <v>1.5187086078E-2</v>
          </cell>
        </row>
        <row r="25">
          <cell r="E25">
            <v>30273785739011</v>
          </cell>
          <cell r="G25">
            <v>30425429899022</v>
          </cell>
        </row>
        <row r="27">
          <cell r="G27">
            <v>4.8888190991000002E-2</v>
          </cell>
        </row>
        <row r="28">
          <cell r="E28">
            <v>46886711748970</v>
          </cell>
          <cell r="G28">
            <v>49182865988667</v>
          </cell>
        </row>
        <row r="30">
          <cell r="G30">
            <v>2.5196016572000001E-2</v>
          </cell>
        </row>
        <row r="31">
          <cell r="E31">
            <v>77612051907242</v>
          </cell>
          <cell r="G31">
            <v>92586530913438</v>
          </cell>
        </row>
        <row r="33">
          <cell r="G33">
            <v>3.066499502E-3</v>
          </cell>
        </row>
        <row r="37">
          <cell r="E37">
            <v>43242163873350</v>
          </cell>
          <cell r="G37">
            <v>45812576725387</v>
          </cell>
        </row>
        <row r="39">
          <cell r="G39">
            <v>2.4621031969999999E-2</v>
          </cell>
        </row>
        <row r="40">
          <cell r="E40">
            <v>28074640445530</v>
          </cell>
          <cell r="G40">
            <v>29464646474557</v>
          </cell>
        </row>
        <row r="42">
          <cell r="G42">
            <v>1.8582884583E-2</v>
          </cell>
        </row>
        <row r="43">
          <cell r="E43">
            <v>44915543631021</v>
          </cell>
          <cell r="G43">
            <v>73324043981337</v>
          </cell>
        </row>
        <row r="45">
          <cell r="G45">
            <v>2.700240975E-3</v>
          </cell>
        </row>
        <row r="49">
          <cell r="E49">
            <v>16158447755316</v>
          </cell>
          <cell r="G49">
            <v>16928644663362</v>
          </cell>
        </row>
        <row r="51">
          <cell r="G51">
            <v>2.6123805053999999E-2</v>
          </cell>
        </row>
        <row r="52">
          <cell r="E52">
            <v>32393006182022</v>
          </cell>
          <cell r="G52">
            <v>37263504699092</v>
          </cell>
        </row>
        <row r="54">
          <cell r="G54">
            <v>1.0857383634E-2</v>
          </cell>
        </row>
        <row r="55">
          <cell r="E55">
            <v>7060432423878</v>
          </cell>
          <cell r="G55">
            <v>9508457093367</v>
          </cell>
        </row>
        <row r="57">
          <cell r="G57">
            <v>2.7644444901000001E-2</v>
          </cell>
        </row>
        <row r="61">
          <cell r="E61">
            <v>13253059807079</v>
          </cell>
          <cell r="G61">
            <v>14968380423950</v>
          </cell>
        </row>
        <row r="63">
          <cell r="G63">
            <v>5.2594658515000003E-2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ge1_1"/>
    </sheetNames>
    <sheetDataSet>
      <sheetData sheetId="0">
        <row r="8">
          <cell r="B8" t="str">
            <v>3. Industri Pengolahan</v>
          </cell>
          <cell r="C8">
            <v>75498288570345</v>
          </cell>
          <cell r="E8">
            <v>88981456906231</v>
          </cell>
          <cell r="H8">
            <v>7.0817326960000001E-3</v>
          </cell>
        </row>
        <row r="9">
          <cell r="B9" t="str">
            <v>1. Pertanian, Kehutanan dan Perikanan</v>
          </cell>
          <cell r="C9">
            <v>54885469579767</v>
          </cell>
          <cell r="E9">
            <v>56191707763915</v>
          </cell>
          <cell r="H9">
            <v>1.3921546599000001E-2</v>
          </cell>
        </row>
        <row r="10">
          <cell r="B10" t="str">
            <v>7. Perdagangan Besar Dan Eceran; Reparasi dan Perawatan Mobil dan Sepeda Motor</v>
          </cell>
          <cell r="C10">
            <v>47525585159270</v>
          </cell>
          <cell r="E10">
            <v>47831566542608</v>
          </cell>
          <cell r="H10">
            <v>3.7462052980999999E-2</v>
          </cell>
        </row>
        <row r="11">
          <cell r="B11" t="str">
            <v>6. Konstruksi</v>
          </cell>
          <cell r="C11">
            <v>6360242021278</v>
          </cell>
          <cell r="E11">
            <v>7466698117424</v>
          </cell>
          <cell r="H11">
            <v>4.6697395712000003E-2</v>
          </cell>
        </row>
        <row r="12">
          <cell r="B12" t="str">
            <v>4. Pengadaan Listrik, Gas, Uap/Air Panas dan Udara Dingin</v>
          </cell>
          <cell r="C12">
            <v>5745315243822</v>
          </cell>
          <cell r="E12">
            <v>6137271005303</v>
          </cell>
          <cell r="H12">
            <v>6.5257746E-4</v>
          </cell>
        </row>
        <row r="13">
          <cell r="E13">
            <v>238556097407208</v>
          </cell>
        </row>
        <row r="14">
          <cell r="B14" t="str">
            <v>7. Perdagangan Besar Dan Eceran; Reparasi dan Perawatan Mobil dan Sepeda Motor</v>
          </cell>
          <cell r="C14">
            <v>6520007452464</v>
          </cell>
          <cell r="E14">
            <v>6850274263729</v>
          </cell>
          <cell r="H14">
            <v>6.6232627988000004E-2</v>
          </cell>
        </row>
        <row r="15">
          <cell r="B15" t="str">
            <v>1. Pertanian, Kehutanan dan Perikanan</v>
          </cell>
          <cell r="C15">
            <v>5127040175419</v>
          </cell>
          <cell r="E15">
            <v>5762420909285</v>
          </cell>
          <cell r="H15">
            <v>4.2926221770000002E-2</v>
          </cell>
        </row>
        <row r="16">
          <cell r="B16" t="str">
            <v>3. Industri Pengolahan</v>
          </cell>
          <cell r="C16">
            <v>4147839875222</v>
          </cell>
          <cell r="E16">
            <v>4239975080414</v>
          </cell>
          <cell r="H16">
            <v>2.4276554685E-2</v>
          </cell>
        </row>
        <row r="17">
          <cell r="B17" t="str">
            <v>6. Konstruksi</v>
          </cell>
          <cell r="C17">
            <v>920973751855</v>
          </cell>
          <cell r="E17">
            <v>978071727497</v>
          </cell>
          <cell r="H17">
            <v>0.121766830846</v>
          </cell>
        </row>
        <row r="18">
          <cell r="B18" t="str">
            <v>4. Pengadaan Listrik, Gas, Uap/Air Panas dan Udara Dingin</v>
          </cell>
          <cell r="C18">
            <v>303215081660</v>
          </cell>
          <cell r="E18">
            <v>638916790279</v>
          </cell>
          <cell r="H18">
            <v>1.0308465E-4</v>
          </cell>
        </row>
        <row r="19">
          <cell r="E19">
            <v>24476837517317</v>
          </cell>
        </row>
        <row r="20">
          <cell r="B20" t="str">
            <v>3. Industri Pengolahan</v>
          </cell>
          <cell r="C20">
            <v>39018425173709</v>
          </cell>
          <cell r="E20">
            <v>49300216929350</v>
          </cell>
          <cell r="H20">
            <v>2.9891190569999999E-3</v>
          </cell>
        </row>
        <row r="21">
          <cell r="B21" t="str">
            <v>1. Pertanian, Kehutanan dan Perikanan</v>
          </cell>
          <cell r="C21">
            <v>34843268075900</v>
          </cell>
          <cell r="E21">
            <v>36680876349520</v>
          </cell>
          <cell r="H21">
            <v>9.9185763760000004E-3</v>
          </cell>
        </row>
        <row r="22">
          <cell r="B22" t="str">
            <v>7. Perdagangan Besar Dan Eceran; Reparasi dan Perawatan Mobil dan Sepeda Motor</v>
          </cell>
          <cell r="C22">
            <v>15775094102333</v>
          </cell>
          <cell r="E22">
            <v>17962296091526</v>
          </cell>
          <cell r="H22">
            <v>2.1489196477000001E-2</v>
          </cell>
        </row>
        <row r="23">
          <cell r="B23" t="str">
            <v>6. Konstruksi</v>
          </cell>
          <cell r="C23">
            <v>2763436691391</v>
          </cell>
          <cell r="E23">
            <v>3268193142217</v>
          </cell>
          <cell r="H23">
            <v>4.3032391351000003E-2</v>
          </cell>
        </row>
        <row r="24">
          <cell r="B24" t="str">
            <v>4. Pengadaan Listrik, Gas, Uap/Air Panas dan Udara Dingin</v>
          </cell>
          <cell r="C24">
            <v>139928460262</v>
          </cell>
          <cell r="E24">
            <v>385824053952</v>
          </cell>
          <cell r="H24">
            <v>1.6964609900000001E-4</v>
          </cell>
        </row>
        <row r="25">
          <cell r="E25">
            <v>138399107638825</v>
          </cell>
        </row>
        <row r="26">
          <cell r="B26" t="str">
            <v>7. Perdagangan Besar Dan Eceran; Reparasi dan Perawatan Mobil dan Sepeda Motor</v>
          </cell>
          <cell r="C26">
            <v>17143159760574</v>
          </cell>
          <cell r="E26">
            <v>16308415998016</v>
          </cell>
          <cell r="H26">
            <v>5.2001828707999999E-2</v>
          </cell>
        </row>
        <row r="27">
          <cell r="B27" t="str">
            <v>1. Pertanian, Kehutanan dan Perikanan</v>
          </cell>
          <cell r="C27">
            <v>13199390343010</v>
          </cell>
          <cell r="E27">
            <v>17492700930595</v>
          </cell>
          <cell r="H27">
            <v>1.8990965410000001E-2</v>
          </cell>
        </row>
        <row r="28">
          <cell r="B28" t="str">
            <v>3. Industri Pengolahan</v>
          </cell>
          <cell r="C28">
            <v>3487890481799</v>
          </cell>
          <cell r="E28">
            <v>3929832688253</v>
          </cell>
          <cell r="H28">
            <v>4.7933832922E-2</v>
          </cell>
        </row>
        <row r="29">
          <cell r="B29" t="str">
            <v>6. Konstruksi</v>
          </cell>
          <cell r="C29">
            <v>600705766517</v>
          </cell>
          <cell r="E29">
            <v>847177338994</v>
          </cell>
          <cell r="H29">
            <v>0.13361358412900001</v>
          </cell>
        </row>
        <row r="30">
          <cell r="B30" t="str">
            <v>4. Pengadaan Listrik, Gas, Uap/Air Panas dan Udara Dingin</v>
          </cell>
          <cell r="C30">
            <v>209454543566</v>
          </cell>
          <cell r="E30">
            <v>600174457252</v>
          </cell>
          <cell r="H30">
            <v>5.6646995799999997E-4</v>
          </cell>
        </row>
        <row r="31">
          <cell r="E31">
            <v>45787908043126</v>
          </cell>
        </row>
        <row r="32">
          <cell r="B32" t="str">
            <v>3. Industri Pengolahan</v>
          </cell>
          <cell r="C32">
            <v>13038936494553</v>
          </cell>
          <cell r="E32">
            <v>13724327181924</v>
          </cell>
          <cell r="H32">
            <v>9.7058935300000006E-3</v>
          </cell>
        </row>
        <row r="33">
          <cell r="B33" t="str">
            <v>4. Pengadaan Listrik, Gas, Uap/Air Panas dan Udara Dingin</v>
          </cell>
          <cell r="C33">
            <v>9515033443836</v>
          </cell>
          <cell r="E33">
            <v>16981862373448</v>
          </cell>
          <cell r="H33">
            <v>6.16337700178574E-6</v>
          </cell>
        </row>
        <row r="34">
          <cell r="B34" t="str">
            <v>6. Konstruksi</v>
          </cell>
          <cell r="C34">
            <v>2654424073860</v>
          </cell>
          <cell r="E34">
            <v>11672216205014</v>
          </cell>
          <cell r="H34">
            <v>1.6078341254000001E-2</v>
          </cell>
        </row>
        <row r="35">
          <cell r="B35" t="str">
            <v>7. Perdagangan Besar Dan Eceran; Reparasi dan Perawatan Mobil dan Sepeda Motor</v>
          </cell>
          <cell r="C35">
            <v>8519445406323</v>
          </cell>
          <cell r="E35">
            <v>8619284549587</v>
          </cell>
          <cell r="H35">
            <v>1.8499025523999998E-2</v>
          </cell>
        </row>
        <row r="36">
          <cell r="B36" t="str">
            <v>1. Pertanian, Kehutanan dan Perikanan</v>
          </cell>
          <cell r="C36">
            <v>2920308918591</v>
          </cell>
          <cell r="E36">
            <v>2392604663236</v>
          </cell>
          <cell r="H36">
            <v>1.2271685458E-2</v>
          </cell>
        </row>
        <row r="37">
          <cell r="E37">
            <v>90252688644699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ge1_1"/>
    </sheetNames>
    <sheetDataSet>
      <sheetData sheetId="0">
        <row r="6">
          <cell r="K6">
            <v>45069260706697</v>
          </cell>
          <cell r="Z6">
            <v>50062343232263</v>
          </cell>
        </row>
        <row r="7">
          <cell r="K7">
            <v>15847677711666</v>
          </cell>
          <cell r="Z7">
            <v>16605818276846</v>
          </cell>
        </row>
        <row r="8">
          <cell r="K8">
            <v>34171525238287</v>
          </cell>
          <cell r="Z8">
            <v>34215549812651</v>
          </cell>
        </row>
        <row r="9">
          <cell r="K9">
            <v>32834991577942</v>
          </cell>
          <cell r="Z9">
            <v>31367764270511</v>
          </cell>
        </row>
        <row r="10">
          <cell r="K10">
            <v>31805600348610</v>
          </cell>
          <cell r="Z10">
            <v>30216490331801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ge1_1"/>
    </sheetNames>
    <sheetDataSet>
      <sheetData sheetId="0">
        <row r="7">
          <cell r="C7">
            <v>36616248085169</v>
          </cell>
          <cell r="E7">
            <v>41107479667154</v>
          </cell>
        </row>
        <row r="8">
          <cell r="C8">
            <v>10481202039436</v>
          </cell>
          <cell r="E8">
            <v>10912671023098</v>
          </cell>
        </row>
        <row r="9">
          <cell r="C9">
            <v>27795822894090</v>
          </cell>
          <cell r="E9">
            <v>27262535556620</v>
          </cell>
        </row>
        <row r="10">
          <cell r="C10">
            <v>28346307453951</v>
          </cell>
          <cell r="E10">
            <v>26820001778952</v>
          </cell>
        </row>
        <row r="11">
          <cell r="C11">
            <v>27042851927045</v>
          </cell>
          <cell r="E11">
            <v>25397793349008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ge1_1"/>
    </sheetNames>
    <sheetDataSet>
      <sheetData sheetId="0">
        <row r="10">
          <cell r="C10">
            <v>31045481638013</v>
          </cell>
          <cell r="E10">
            <v>32370278123149</v>
          </cell>
        </row>
        <row r="16">
          <cell r="C16">
            <v>10431504044018</v>
          </cell>
          <cell r="E16">
            <v>10857382854870</v>
          </cell>
        </row>
        <row r="22">
          <cell r="C22">
            <v>25362837536817</v>
          </cell>
          <cell r="E22">
            <v>25400718121935</v>
          </cell>
        </row>
        <row r="28">
          <cell r="C28">
            <v>21357082402435</v>
          </cell>
          <cell r="E28">
            <v>21691051757951</v>
          </cell>
        </row>
        <row r="34">
          <cell r="C34">
            <v>20405355946176</v>
          </cell>
          <cell r="E34">
            <v>21109164812268</v>
          </cell>
        </row>
      </sheetData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ge1_1"/>
    </sheetNames>
    <sheetDataSet>
      <sheetData sheetId="0">
        <row r="11">
          <cell r="C11">
            <v>2.3358761275000001E-2</v>
          </cell>
          <cell r="E11">
            <v>2.7554837985999999E-2</v>
          </cell>
        </row>
        <row r="17">
          <cell r="C17">
            <v>8.2538950379999997E-3</v>
          </cell>
          <cell r="E17">
            <v>1.6741093891000002E-2</v>
          </cell>
        </row>
        <row r="23">
          <cell r="C23">
            <v>2.0067361972999999E-2</v>
          </cell>
          <cell r="E23">
            <v>2.3800268406E-2</v>
          </cell>
        </row>
        <row r="29">
          <cell r="C29">
            <v>2.5333745312999999E-2</v>
          </cell>
          <cell r="E29">
            <v>2.7537983690999999E-2</v>
          </cell>
        </row>
        <row r="35">
          <cell r="C35">
            <v>1.6835768680000002E-2</v>
          </cell>
          <cell r="E35">
            <v>2.7880408674999999E-2</v>
          </cell>
        </row>
      </sheetData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U-Kinerja"/>
      <sheetName val="Isu strategis"/>
      <sheetName val="ST &amp; MI"/>
      <sheetName val="Restru"/>
    </sheetNames>
    <sheetDataSet>
      <sheetData sheetId="0">
        <row r="3">
          <cell r="C3">
            <v>45449.143848644373</v>
          </cell>
        </row>
        <row r="4">
          <cell r="C4">
            <v>35934.658900307491</v>
          </cell>
        </row>
        <row r="5">
          <cell r="C5">
            <v>31992.415184283291</v>
          </cell>
        </row>
        <row r="8">
          <cell r="C8">
            <v>0.21160000000000001</v>
          </cell>
        </row>
        <row r="9">
          <cell r="C9">
            <v>2.1899999999999999E-2</v>
          </cell>
        </row>
        <row r="10">
          <cell r="C10">
            <v>0.87090000000000001</v>
          </cell>
        </row>
        <row r="16">
          <cell r="C16">
            <v>4548.6786360421202</v>
          </cell>
        </row>
      </sheetData>
      <sheetData sheetId="1"/>
      <sheetData sheetId="2"/>
      <sheetData sheetId="3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U-Kinerja"/>
      <sheetName val="Isu strategis"/>
      <sheetName val="ST &amp; MI"/>
      <sheetName val="Restru"/>
    </sheetNames>
    <sheetDataSet>
      <sheetData sheetId="0">
        <row r="3">
          <cell r="C3">
            <v>16701.977034399999</v>
          </cell>
        </row>
        <row r="4">
          <cell r="C4">
            <v>10290.772193500001</v>
          </cell>
        </row>
        <row r="5">
          <cell r="C5">
            <v>10833.772026799999</v>
          </cell>
        </row>
        <row r="8">
          <cell r="C8">
            <v>0.445712</v>
          </cell>
        </row>
        <row r="9">
          <cell r="C9">
            <v>6.5900000000000004E-3</v>
          </cell>
        </row>
        <row r="10">
          <cell r="C10">
            <v>1.05277</v>
          </cell>
        </row>
        <row r="16">
          <cell r="C16">
            <v>5082.2886810999998</v>
          </cell>
        </row>
      </sheetData>
      <sheetData sheetId="1"/>
      <sheetData sheetId="2"/>
      <sheetData sheetId="3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U-Kinerja"/>
      <sheetName val="Isu strategis"/>
      <sheetName val="ST &amp; MI"/>
      <sheetName val="Restru"/>
    </sheetNames>
    <sheetDataSet>
      <sheetData sheetId="0">
        <row r="3">
          <cell r="C3">
            <v>32049</v>
          </cell>
        </row>
        <row r="4">
          <cell r="C4">
            <v>26216</v>
          </cell>
        </row>
        <row r="5">
          <cell r="C5">
            <v>20404</v>
          </cell>
        </row>
        <row r="8">
          <cell r="C8" t="str">
            <v>21,10%</v>
          </cell>
        </row>
        <row r="9">
          <cell r="C9" t="str">
            <v>1,69%</v>
          </cell>
        </row>
        <row r="10">
          <cell r="C10" t="str">
            <v>77,83%</v>
          </cell>
        </row>
        <row r="16">
          <cell r="C16">
            <v>3441</v>
          </cell>
        </row>
      </sheetData>
      <sheetData sheetId="1"/>
      <sheetData sheetId="2"/>
      <sheetData sheetId="3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U-Kinerja"/>
      <sheetName val="Isu strategis"/>
      <sheetName val="ST &amp; MI"/>
      <sheetName val="Restru"/>
    </sheetNames>
    <sheetDataSet>
      <sheetData sheetId="0">
        <row r="3">
          <cell r="C3">
            <v>30859.726565174002</v>
          </cell>
        </row>
        <row r="4">
          <cell r="C4">
            <v>24316.478203499999</v>
          </cell>
        </row>
        <row r="5">
          <cell r="C5">
            <v>21607.515931599999</v>
          </cell>
        </row>
        <row r="8">
          <cell r="C8">
            <v>0.21179999999999999</v>
          </cell>
        </row>
        <row r="9">
          <cell r="C9">
            <v>2.3699999999999999E-2</v>
          </cell>
        </row>
        <row r="10">
          <cell r="C10">
            <v>0.88859999999999995</v>
          </cell>
        </row>
        <row r="16">
          <cell r="C16">
            <v>3305.8285999999998</v>
          </cell>
        </row>
      </sheetData>
      <sheetData sheetId="1"/>
      <sheetData sheetId="2"/>
      <sheetData sheetId="3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U-Kinerja"/>
      <sheetName val="Isu strategis"/>
      <sheetName val="ST &amp; MI"/>
      <sheetName val="Restru"/>
    </sheetNames>
    <sheetDataSet>
      <sheetData sheetId="0">
        <row r="3">
          <cell r="C3">
            <v>32957.815000000002</v>
          </cell>
        </row>
        <row r="4">
          <cell r="C4">
            <v>26683.360700500001</v>
          </cell>
        </row>
        <row r="5">
          <cell r="C5">
            <v>25550.823588200001</v>
          </cell>
        </row>
        <row r="8">
          <cell r="C8">
            <v>0.23200000000000001</v>
          </cell>
        </row>
        <row r="9">
          <cell r="C9">
            <v>1.8499999999999999E-2</v>
          </cell>
        </row>
        <row r="10">
          <cell r="C10">
            <v>0.95760000000000001</v>
          </cell>
        </row>
        <row r="16">
          <cell r="C16">
            <v>3917.1885378000002</v>
          </cell>
        </row>
      </sheetData>
      <sheetData sheetId="1"/>
      <sheetData sheetId="2"/>
      <sheetData sheetId="3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U-Kinerja"/>
      <sheetName val="(Penting) Isu strategis"/>
      <sheetName val="ST &amp; MI"/>
      <sheetName val="Restru"/>
    </sheetNames>
    <sheetDataSet>
      <sheetData sheetId="0">
        <row r="19">
          <cell r="B19">
            <v>7402196412987.0098</v>
          </cell>
          <cell r="C19">
            <v>8231791758695.9902</v>
          </cell>
          <cell r="D19">
            <v>8372602028751.4502</v>
          </cell>
        </row>
        <row r="20">
          <cell r="B20">
            <v>37230178067933.297</v>
          </cell>
          <cell r="C20">
            <v>38660126766802.398</v>
          </cell>
          <cell r="D20">
            <v>37597784503959.602</v>
          </cell>
        </row>
        <row r="21">
          <cell r="B21">
            <v>7744993489975.1797</v>
          </cell>
          <cell r="C21">
            <v>7793465839755.2002</v>
          </cell>
          <cell r="D21">
            <v>9036299051553.8105</v>
          </cell>
        </row>
      </sheetData>
      <sheetData sheetId="1"/>
      <sheetData sheetId="2"/>
      <sheetData sheetId="3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U-Kinerja"/>
      <sheetName val="(Penting) Isu strategis"/>
      <sheetName val="ST &amp; MI"/>
      <sheetName val="Restru"/>
    </sheetNames>
    <sheetDataSet>
      <sheetData sheetId="0">
        <row r="19">
          <cell r="B19">
            <v>3526193138728</v>
          </cell>
          <cell r="C19">
            <v>3378859933109</v>
          </cell>
          <cell r="D19">
            <v>3259384544928</v>
          </cell>
        </row>
        <row r="20">
          <cell r="B20">
            <v>10949562435269</v>
          </cell>
          <cell r="C20">
            <v>10996263413297</v>
          </cell>
          <cell r="D20">
            <v>10638613056510</v>
          </cell>
        </row>
        <row r="21">
          <cell r="B21">
            <v>2171254307060.3</v>
          </cell>
          <cell r="C21">
            <v>2173216241333.5</v>
          </cell>
          <cell r="D21">
            <v>2103385975680.2</v>
          </cell>
        </row>
      </sheetData>
      <sheetData sheetId="1"/>
      <sheetData sheetId="2"/>
      <sheetData sheetId="3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U Kinerja"/>
      <sheetName val="Isu Strategis"/>
    </sheetNames>
    <sheetDataSet>
      <sheetData sheetId="0">
        <row r="19">
          <cell r="B19">
            <v>4421077118461.9707</v>
          </cell>
          <cell r="C19">
            <v>5017838448813.9199</v>
          </cell>
          <cell r="D19">
            <v>4791726583409.0537</v>
          </cell>
        </row>
        <row r="20">
          <cell r="B20">
            <v>25650589189641</v>
          </cell>
          <cell r="C20">
            <v>23738499095985.281</v>
          </cell>
          <cell r="D20">
            <v>24744661244339</v>
          </cell>
        </row>
        <row r="21">
          <cell r="B21">
            <v>6015376460388.375</v>
          </cell>
          <cell r="C21">
            <v>5798004204342.2734</v>
          </cell>
          <cell r="D21">
            <v>6232972428856.0586</v>
          </cell>
        </row>
      </sheetData>
      <sheetData sheetId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U-Kinerja"/>
      <sheetName val="(Penting) Isu strategis"/>
      <sheetName val="ST &amp; MI"/>
      <sheetName val="Restru"/>
    </sheetNames>
    <sheetDataSet>
      <sheetData sheetId="0">
        <row r="19">
          <cell r="B19">
            <v>6866459679249.834</v>
          </cell>
          <cell r="C19">
            <v>4954557581119.9824</v>
          </cell>
          <cell r="D19">
            <v>4036104671736.5068</v>
          </cell>
        </row>
        <row r="20">
          <cell r="B20">
            <v>27091293732153.367</v>
          </cell>
          <cell r="C20">
            <v>25750075400351.27</v>
          </cell>
          <cell r="D20">
            <v>24378606853076.473</v>
          </cell>
        </row>
        <row r="21">
          <cell r="B21">
            <v>5162378102202.7061</v>
          </cell>
          <cell r="C21">
            <v>4783469462058.4844</v>
          </cell>
          <cell r="D21">
            <v>4940349649693.9502</v>
          </cell>
        </row>
      </sheetData>
      <sheetData sheetId="1"/>
      <sheetData sheetId="2"/>
      <sheetData sheetId="3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U-Kinerja"/>
      <sheetName val="(Penting) Isu strategis"/>
      <sheetName val="ST &amp; MI"/>
      <sheetName val="Restru"/>
    </sheetNames>
    <sheetDataSet>
      <sheetData sheetId="0">
        <row r="19">
          <cell r="B19">
            <v>6400722714810</v>
          </cell>
          <cell r="C19">
            <v>5903383239119</v>
          </cell>
          <cell r="D19">
            <v>4677709202174.2607</v>
          </cell>
        </row>
        <row r="20">
          <cell r="B20">
            <v>27358776000000</v>
          </cell>
          <cell r="C20">
            <v>26839110304301</v>
          </cell>
          <cell r="D20">
            <v>26506299000000</v>
          </cell>
        </row>
        <row r="21">
          <cell r="B21">
            <v>5082940800000</v>
          </cell>
        </row>
      </sheetData>
      <sheetData sheetId="1"/>
      <sheetData sheetId="2"/>
      <sheetData sheetId="3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ge1_1"/>
    </sheetNames>
    <sheetDataSet>
      <sheetData sheetId="0">
        <row r="18">
          <cell r="C18">
            <v>2848257725595</v>
          </cell>
          <cell r="E18">
            <v>3069747572418</v>
          </cell>
        </row>
        <row r="19">
          <cell r="C19">
            <v>965638378023</v>
          </cell>
          <cell r="E19">
            <v>917219064295</v>
          </cell>
        </row>
        <row r="20">
          <cell r="C20">
            <v>2660623942442</v>
          </cell>
          <cell r="E20">
            <v>2930123959349</v>
          </cell>
        </row>
        <row r="21">
          <cell r="C21">
            <v>2313820094775</v>
          </cell>
          <cell r="E21">
            <v>2593866106106</v>
          </cell>
        </row>
        <row r="22">
          <cell r="C22">
            <v>11559086119622</v>
          </cell>
          <cell r="E22">
            <v>13278194318832</v>
          </cell>
        </row>
      </sheetData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ge1_1"/>
    </sheetNames>
    <sheetDataSet>
      <sheetData sheetId="0">
        <row r="5">
          <cell r="C5">
            <v>1979469856963</v>
          </cell>
          <cell r="E5">
            <v>2135703991308</v>
          </cell>
        </row>
        <row r="6">
          <cell r="C6">
            <v>1562959795199</v>
          </cell>
          <cell r="E6">
            <v>1596501922079</v>
          </cell>
        </row>
        <row r="7">
          <cell r="C7">
            <v>1363650341835</v>
          </cell>
          <cell r="E7">
            <v>1504994205987</v>
          </cell>
        </row>
        <row r="8">
          <cell r="C8">
            <v>9050224686307</v>
          </cell>
          <cell r="E8">
            <v>10492424209350</v>
          </cell>
        </row>
        <row r="9">
          <cell r="C9">
            <v>28894012406</v>
          </cell>
          <cell r="E9"/>
        </row>
      </sheetData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ge1_1"/>
    </sheetNames>
    <sheetDataSet>
      <sheetData sheetId="0">
        <row r="7">
          <cell r="B7">
            <v>123645817528</v>
          </cell>
          <cell r="D7">
            <v>91677399284</v>
          </cell>
        </row>
        <row r="8">
          <cell r="B8">
            <v>191217362639</v>
          </cell>
          <cell r="D8">
            <v>228671135965</v>
          </cell>
        </row>
        <row r="9">
          <cell r="B9">
            <v>65777734993</v>
          </cell>
          <cell r="D9">
            <v>75159503051</v>
          </cell>
        </row>
        <row r="10">
          <cell r="B10">
            <v>157755783336</v>
          </cell>
          <cell r="D10">
            <v>199634550990</v>
          </cell>
        </row>
        <row r="11">
          <cell r="B11">
            <v>429688971831</v>
          </cell>
          <cell r="D11">
            <v>432602358199</v>
          </cell>
        </row>
      </sheetData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ge1_1"/>
    </sheetNames>
    <sheetDataSet>
      <sheetData sheetId="0">
        <row r="7">
          <cell r="B7">
            <v>43274120576</v>
          </cell>
          <cell r="D7">
            <v>37222390376</v>
          </cell>
        </row>
        <row r="8">
          <cell r="B8">
            <v>232107470420</v>
          </cell>
          <cell r="D8">
            <v>302341841749</v>
          </cell>
        </row>
        <row r="9">
          <cell r="B9">
            <v>48769512313</v>
          </cell>
          <cell r="D9">
            <v>51470373869</v>
          </cell>
        </row>
        <row r="10">
          <cell r="B10">
            <v>24835200350</v>
          </cell>
          <cell r="D10">
            <v>37773800539</v>
          </cell>
        </row>
        <row r="11">
          <cell r="B11">
            <v>118529050617</v>
          </cell>
          <cell r="D11">
            <v>122216757536</v>
          </cell>
        </row>
      </sheetData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ge1_1"/>
    </sheetNames>
    <sheetDataSet>
      <sheetData sheetId="0">
        <row r="16">
          <cell r="C16">
            <v>727246735460</v>
          </cell>
          <cell r="E16">
            <v>689079463514</v>
          </cell>
        </row>
        <row r="17">
          <cell r="C17">
            <v>0.188984776183</v>
          </cell>
          <cell r="E17">
            <v>0.14356789822900001</v>
          </cell>
        </row>
        <row r="25">
          <cell r="C25">
            <v>8905310507752</v>
          </cell>
          <cell r="E25">
            <v>10570537186756</v>
          </cell>
        </row>
        <row r="26">
          <cell r="C26">
            <v>6.5035415287999998E-2</v>
          </cell>
          <cell r="E26">
            <v>6.1561604474999997E-2</v>
          </cell>
        </row>
        <row r="34">
          <cell r="C34">
            <v>1783012758599</v>
          </cell>
          <cell r="E34">
            <v>1777175868646</v>
          </cell>
        </row>
        <row r="35">
          <cell r="C35">
            <v>0.102548960417</v>
          </cell>
          <cell r="E35">
            <v>0.125978921464</v>
          </cell>
        </row>
        <row r="43">
          <cell r="C43">
            <v>2068518674632</v>
          </cell>
          <cell r="E43">
            <v>2253553185841</v>
          </cell>
        </row>
        <row r="44">
          <cell r="C44">
            <v>0.110388223428</v>
          </cell>
          <cell r="E44">
            <v>0.116433990643</v>
          </cell>
        </row>
        <row r="52">
          <cell r="C52">
            <v>2141676528444</v>
          </cell>
          <cell r="E52">
            <v>2264370251653</v>
          </cell>
        </row>
        <row r="53">
          <cell r="C53">
            <v>9.3965855461000003E-2</v>
          </cell>
          <cell r="E53">
            <v>9.5669851439999995E-2</v>
          </cell>
        </row>
      </sheetData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Jenis Kegiatan"/>
      <sheetName val="Sektor Ekonomi"/>
    </sheetNames>
    <sheetDataSet>
      <sheetData sheetId="0">
        <row r="7">
          <cell r="I7">
            <v>6302209487228</v>
          </cell>
          <cell r="K7">
            <v>1.7209993995249768E-2</v>
          </cell>
        </row>
        <row r="31">
          <cell r="I31">
            <v>24069681163756</v>
          </cell>
          <cell r="K31">
            <v>2.8982915150511289E-2</v>
          </cell>
        </row>
        <row r="65">
          <cell r="I65">
            <v>6011033643705</v>
          </cell>
          <cell r="K65">
            <v>2.5410518211449244E-2</v>
          </cell>
        </row>
        <row r="85">
          <cell r="I85">
            <v>23203206327345</v>
          </cell>
          <cell r="K85">
            <v>2.1947060234121938E-2</v>
          </cell>
        </row>
        <row r="163">
          <cell r="I163">
            <v>6039529002347</v>
          </cell>
          <cell r="K163">
            <v>1.5135806526879209E-2</v>
          </cell>
        </row>
      </sheetData>
      <sheetData sheetId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Jenis Kegiatan"/>
      <sheetName val="Sektor Ekonomi"/>
    </sheetNames>
    <sheetDataSet>
      <sheetData sheetId="0">
        <row r="7">
          <cell r="I7">
            <v>6030200334312</v>
          </cell>
        </row>
        <row r="31">
          <cell r="I31">
            <v>22723692955447</v>
          </cell>
        </row>
        <row r="65">
          <cell r="I65">
            <v>5500212571286</v>
          </cell>
        </row>
        <row r="85">
          <cell r="I85">
            <v>22366485630314</v>
          </cell>
        </row>
        <row r="163">
          <cell r="I163">
            <v>5716298758556</v>
          </cell>
        </row>
      </sheetData>
      <sheetData sheetId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odal Ventura"/>
    </sheetNames>
    <sheetDataSet>
      <sheetData sheetId="0">
        <row r="7">
          <cell r="B7">
            <v>9543536162</v>
          </cell>
          <cell r="C7">
            <v>2.2438056121445438E-2</v>
          </cell>
        </row>
        <row r="31">
          <cell r="B31">
            <v>711063612458</v>
          </cell>
          <cell r="C31">
            <v>6.3685041030945411E-2</v>
          </cell>
        </row>
        <row r="65">
          <cell r="B65">
            <v>295455566998</v>
          </cell>
          <cell r="C65">
            <v>3.4644218039287404E-2</v>
          </cell>
        </row>
        <row r="85">
          <cell r="B85">
            <v>115050022916</v>
          </cell>
          <cell r="C85">
            <v>7.78238446465778E-3</v>
          </cell>
        </row>
        <row r="163">
          <cell r="B163">
            <v>23906720004</v>
          </cell>
          <cell r="C163">
            <v>9.1084935099238224E-3</v>
          </cell>
        </row>
      </sheetData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TAL"/>
      <sheetName val="34 Prov"/>
      <sheetName val="Modal Ventura"/>
    </sheetNames>
    <sheetDataSet>
      <sheetData sheetId="0"/>
      <sheetData sheetId="1"/>
      <sheetData sheetId="2">
        <row r="7">
          <cell r="B7">
            <v>16840228592</v>
          </cell>
        </row>
        <row r="31">
          <cell r="B31">
            <v>489810983749</v>
          </cell>
        </row>
        <row r="65">
          <cell r="B65">
            <v>250360606797</v>
          </cell>
        </row>
        <row r="85">
          <cell r="B85">
            <v>99501566331</v>
          </cell>
        </row>
        <row r="163">
          <cell r="B163">
            <v>19814328973</v>
          </cell>
        </row>
      </sheetData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2PL_Data_Kualitas_Pendanaan_OS"/>
    </sheetNames>
    <sheetDataSet>
      <sheetData sheetId="0">
        <row r="14">
          <cell r="R14">
            <v>3078845884959</v>
          </cell>
          <cell r="S14">
            <v>3974659471030</v>
          </cell>
        </row>
        <row r="15">
          <cell r="R15">
            <v>196896539245</v>
          </cell>
          <cell r="S15">
            <v>182781214218</v>
          </cell>
        </row>
        <row r="16">
          <cell r="R16">
            <v>1398913257793</v>
          </cell>
          <cell r="S16">
            <v>1725528312573</v>
          </cell>
        </row>
        <row r="17">
          <cell r="R17">
            <v>1565778004496</v>
          </cell>
          <cell r="S17">
            <v>2060088186472</v>
          </cell>
        </row>
        <row r="18">
          <cell r="R18">
            <v>993020287665</v>
          </cell>
          <cell r="S18">
            <v>1396978615898</v>
          </cell>
        </row>
        <row r="20">
          <cell r="S20">
            <v>1.7654178847129311E-2</v>
          </cell>
        </row>
      </sheetData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Kinerja-LKM"/>
      <sheetName val="Kinerja-Gadai Swasta"/>
      <sheetName val="Realisasi 2023"/>
      <sheetName val="Rencana 2024"/>
      <sheetName val="Kinerja-Penjaminan"/>
      <sheetName val="(Penting) Isu Strategis"/>
    </sheetNames>
    <sheetDataSet>
      <sheetData sheetId="0">
        <row r="5">
          <cell r="G5">
            <v>8190504553</v>
          </cell>
          <cell r="H5">
            <v>9588207886</v>
          </cell>
        </row>
      </sheetData>
      <sheetData sheetId="1">
        <row r="4">
          <cell r="F4">
            <v>304923499000</v>
          </cell>
          <cell r="G4">
            <v>385740066620</v>
          </cell>
        </row>
      </sheetData>
      <sheetData sheetId="2"/>
      <sheetData sheetId="3"/>
      <sheetData sheetId="4"/>
      <sheetData sheetId="5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Kinerja-LKM"/>
      <sheetName val="Kinerja-Gadai Swasta"/>
      <sheetName val="Realisasi 2023"/>
      <sheetName val="Rencana 2024"/>
      <sheetName val="Kinerja-Penjaminan"/>
      <sheetName val="(Penting) Isu Strategis"/>
    </sheetNames>
    <sheetDataSet>
      <sheetData sheetId="0"/>
      <sheetData sheetId="1">
        <row r="6">
          <cell r="F6">
            <v>41544562282.699997</v>
          </cell>
          <cell r="G6">
            <v>68968925914.699997</v>
          </cell>
          <cell r="K6">
            <v>6.2186927899387782E-2</v>
          </cell>
        </row>
      </sheetData>
      <sheetData sheetId="2"/>
      <sheetData sheetId="3"/>
      <sheetData sheetId="4"/>
      <sheetData sheetId="5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Kinerja-LKM"/>
      <sheetName val="Kinerja-Gadai Swasta"/>
      <sheetName val="Realisasi 2023"/>
      <sheetName val="Rencana 2024"/>
      <sheetName val="Kinerja-Penjaminan"/>
      <sheetName val="(Penting) Isu Strategis"/>
    </sheetNames>
    <sheetDataSet>
      <sheetData sheetId="0"/>
      <sheetData sheetId="1">
        <row r="8">
          <cell r="F8">
            <v>231132529438</v>
          </cell>
          <cell r="G8">
            <v>205189437315</v>
          </cell>
        </row>
      </sheetData>
      <sheetData sheetId="2"/>
      <sheetData sheetId="3"/>
      <sheetData sheetId="4"/>
      <sheetData sheetId="5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Kinerja-LKM"/>
      <sheetName val="Kinerja-Gadai Swasta"/>
      <sheetName val="Realisasi 2023"/>
      <sheetName val="Rencana 2024"/>
      <sheetName val="Kinerja-Penjaminan"/>
      <sheetName val="(Penting) Isu Strategis"/>
    </sheetNames>
    <sheetDataSet>
      <sheetData sheetId="0"/>
      <sheetData sheetId="1">
        <row r="8">
          <cell r="J8" t="str">
            <v>5.25%</v>
          </cell>
        </row>
      </sheetData>
      <sheetData sheetId="2"/>
      <sheetData sheetId="3"/>
      <sheetData sheetId="4"/>
      <sheetData sheetId="5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Kinerja-LKM"/>
      <sheetName val="Kinerja-Gadai Swasta"/>
      <sheetName val="Realisasi 2023"/>
      <sheetName val="Rencana 2024"/>
      <sheetName val="Kinerja-Penjaminan"/>
      <sheetName val="(Penting) Isu Strategis"/>
    </sheetNames>
    <sheetDataSet>
      <sheetData sheetId="0">
        <row r="8">
          <cell r="G8">
            <v>36623080027</v>
          </cell>
          <cell r="H8">
            <v>36761157681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Kinerja-LKM"/>
      <sheetName val="Kinerja-Gadai Swasta"/>
      <sheetName val="Realisasi 2023"/>
      <sheetName val="Rencana 2024"/>
      <sheetName val="Kinerja-Penjaminan"/>
      <sheetName val="(Penting) Isu Strategis"/>
    </sheetNames>
    <sheetDataSet>
      <sheetData sheetId="0">
        <row r="7">
          <cell r="G7">
            <v>1680000</v>
          </cell>
          <cell r="H7">
            <v>1680000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Kinerja-LKM"/>
      <sheetName val="Kinerja-Gadai Swasta"/>
      <sheetName val="Realisasi 2023"/>
      <sheetName val="Rencana 2024"/>
      <sheetName val="Kinerja-Penjaminan"/>
      <sheetName val="(Penting) Isu Strategis"/>
    </sheetNames>
    <sheetDataSet>
      <sheetData sheetId="0">
        <row r="6">
          <cell r="G6">
            <v>2471158460</v>
          </cell>
          <cell r="H6">
            <v>2797095140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sclaimer"/>
      <sheetName val="Premi ASJI - Gabungan"/>
      <sheetName val="PREMI ASJI"/>
      <sheetName val="Klaim ASJI - Gabungan"/>
      <sheetName val="KLAIM ASJI"/>
      <sheetName val="Premi ASUM - Gabungan"/>
      <sheetName val="PREMI ASUM"/>
      <sheetName val="Klaim ASUM - Gabungan"/>
      <sheetName val="KLAIM ASUM"/>
      <sheetName val="Polis Premi ASJI - Konven"/>
      <sheetName val="Polis Klaim ASJI - Konven"/>
      <sheetName val="Polis Premi ASUM - Konven"/>
      <sheetName val="Polis Klaim ASUM - Konven"/>
      <sheetName val="Premi ASJI - Konven"/>
      <sheetName val="Klaim ASJI - Konven"/>
      <sheetName val="Premi ASUM - Konven"/>
      <sheetName val="Klaim ASUM - Konven"/>
      <sheetName val="Kontribusi ASJI - Syariah"/>
      <sheetName val="Klaim ASJI- Syariah"/>
      <sheetName val="Kontribusi ASUM - Syariah"/>
      <sheetName val="Klaim ASUM - Syariah"/>
    </sheetNames>
    <sheetDataSet>
      <sheetData sheetId="0"/>
      <sheetData sheetId="1"/>
      <sheetData sheetId="2">
        <row r="13">
          <cell r="B13">
            <v>820794.28657999996</v>
          </cell>
          <cell r="E13">
            <v>543763.88456917007</v>
          </cell>
        </row>
        <row r="14">
          <cell r="B14">
            <v>158711.42522999999</v>
          </cell>
          <cell r="E14">
            <v>166050.91994999844</v>
          </cell>
        </row>
        <row r="15">
          <cell r="B15">
            <v>987342.1317599999</v>
          </cell>
          <cell r="E15">
            <v>707569.75281099009</v>
          </cell>
        </row>
        <row r="16">
          <cell r="B16">
            <v>255432.92374999999</v>
          </cell>
          <cell r="E16">
            <v>153289.34357174998</v>
          </cell>
        </row>
        <row r="17">
          <cell r="B17">
            <v>6165739.5831400016</v>
          </cell>
          <cell r="E17">
            <v>3935009.5913507789</v>
          </cell>
        </row>
      </sheetData>
      <sheetData sheetId="3"/>
      <sheetData sheetId="4">
        <row r="13">
          <cell r="B13">
            <v>481263.08649000002</v>
          </cell>
          <cell r="E13">
            <v>298714.37469774002</v>
          </cell>
        </row>
        <row r="14">
          <cell r="B14">
            <v>130891.23751000002</v>
          </cell>
          <cell r="E14">
            <v>278193.54658999998</v>
          </cell>
        </row>
        <row r="15">
          <cell r="B15">
            <v>653058.03806999989</v>
          </cell>
          <cell r="E15">
            <v>331163.64029456006</v>
          </cell>
        </row>
        <row r="16">
          <cell r="B16">
            <v>171491.04178999996</v>
          </cell>
          <cell r="E16">
            <v>136762.49283740998</v>
          </cell>
        </row>
        <row r="17">
          <cell r="B17">
            <v>4592757.4787800005</v>
          </cell>
          <cell r="E17">
            <v>2619720.4923608596</v>
          </cell>
        </row>
      </sheetData>
      <sheetData sheetId="5"/>
      <sheetData sheetId="6">
        <row r="13">
          <cell r="B13">
            <v>447591.55848999991</v>
          </cell>
          <cell r="E13">
            <v>405122.43924638</v>
          </cell>
        </row>
        <row r="14">
          <cell r="B14">
            <v>73728.609160000022</v>
          </cell>
          <cell r="E14">
            <v>56241.539250000023</v>
          </cell>
        </row>
        <row r="15">
          <cell r="B15">
            <v>1177895.13377</v>
          </cell>
          <cell r="E15">
            <v>1011153.9608834498</v>
          </cell>
        </row>
        <row r="16">
          <cell r="B16">
            <v>190908.58956000002</v>
          </cell>
          <cell r="E16">
            <v>163612.48305999997</v>
          </cell>
        </row>
        <row r="17">
          <cell r="B17">
            <v>937357.67670000007</v>
          </cell>
          <cell r="E17">
            <v>916695.4724520701</v>
          </cell>
        </row>
      </sheetData>
      <sheetData sheetId="7"/>
      <sheetData sheetId="8">
        <row r="13">
          <cell r="B13">
            <v>209496.89299999998</v>
          </cell>
          <cell r="E13">
            <v>99283.225307399989</v>
          </cell>
        </row>
        <row r="14">
          <cell r="B14">
            <v>380332.4056</v>
          </cell>
          <cell r="E14">
            <v>195090.31320999999</v>
          </cell>
        </row>
        <row r="15">
          <cell r="B15">
            <v>147493.80028000002</v>
          </cell>
          <cell r="E15">
            <v>185563.17559598005</v>
          </cell>
        </row>
        <row r="16">
          <cell r="B16">
            <v>145524.18031</v>
          </cell>
          <cell r="E16">
            <v>157511.79414999997</v>
          </cell>
        </row>
        <row r="17">
          <cell r="B17">
            <v>694109.81957999978</v>
          </cell>
          <cell r="E17">
            <v>444351.60983983998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sclaimer"/>
      <sheetName val="Data"/>
    </sheetNames>
    <sheetDataSet>
      <sheetData sheetId="0"/>
      <sheetData sheetId="1">
        <row r="9">
          <cell r="C9">
            <v>1263124570326</v>
          </cell>
          <cell r="D9">
            <v>1287927778893</v>
          </cell>
          <cell r="E9">
            <v>2557757891613.6001</v>
          </cell>
          <cell r="F9">
            <v>2687692726714.2998</v>
          </cell>
          <cell r="G9">
            <v>465876285592</v>
          </cell>
          <cell r="H9">
            <v>466494866652</v>
          </cell>
          <cell r="I9">
            <v>981368575334</v>
          </cell>
          <cell r="J9">
            <v>1051412229037</v>
          </cell>
        </row>
      </sheetData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sclaimer"/>
      <sheetName val="Data"/>
    </sheetNames>
    <sheetDataSet>
      <sheetData sheetId="0"/>
      <sheetData sheetId="1">
        <row r="19">
          <cell r="B19">
            <v>4749904907172.6504</v>
          </cell>
          <cell r="C19">
            <v>2985752289155</v>
          </cell>
        </row>
        <row r="20">
          <cell r="B20">
            <v>1761700301904.1001</v>
          </cell>
          <cell r="C20">
            <v>4132597032594</v>
          </cell>
        </row>
      </sheetData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sclaimer"/>
      <sheetName val="Data"/>
    </sheetNames>
    <sheetDataSet>
      <sheetData sheetId="0"/>
      <sheetData sheetId="1">
        <row r="9">
          <cell r="C9">
            <v>74361</v>
          </cell>
          <cell r="H9">
            <v>107420</v>
          </cell>
        </row>
        <row r="11">
          <cell r="C11">
            <v>151345</v>
          </cell>
          <cell r="H11">
            <v>426378</v>
          </cell>
        </row>
        <row r="12">
          <cell r="C12">
            <v>6215</v>
          </cell>
          <cell r="H12">
            <v>8439</v>
          </cell>
        </row>
        <row r="13">
          <cell r="C13">
            <v>163670</v>
          </cell>
          <cell r="H13">
            <v>443241</v>
          </cell>
        </row>
        <row r="14">
          <cell r="C14">
            <v>88685</v>
          </cell>
          <cell r="H14">
            <v>122763</v>
          </cell>
        </row>
        <row r="16">
          <cell r="C16">
            <v>141800</v>
          </cell>
          <cell r="H16">
            <v>258875</v>
          </cell>
        </row>
        <row r="17">
          <cell r="C17">
            <v>15274</v>
          </cell>
          <cell r="H17">
            <v>19641</v>
          </cell>
        </row>
        <row r="18">
          <cell r="C18">
            <v>155697</v>
          </cell>
          <cell r="H18">
            <v>278002</v>
          </cell>
        </row>
        <row r="19">
          <cell r="C19">
            <v>141735</v>
          </cell>
          <cell r="H19">
            <v>200355</v>
          </cell>
        </row>
        <row r="21">
          <cell r="C21">
            <v>265997</v>
          </cell>
          <cell r="H21">
            <v>650758</v>
          </cell>
        </row>
        <row r="22">
          <cell r="C22">
            <v>19859</v>
          </cell>
          <cell r="H22">
            <v>23442</v>
          </cell>
        </row>
        <row r="23">
          <cell r="C23">
            <v>285286</v>
          </cell>
          <cell r="H23">
            <v>677953</v>
          </cell>
        </row>
        <row r="24">
          <cell r="C24">
            <v>106427</v>
          </cell>
          <cell r="H24">
            <v>145455</v>
          </cell>
        </row>
        <row r="26">
          <cell r="C26">
            <v>206953</v>
          </cell>
          <cell r="H26">
            <v>511901</v>
          </cell>
        </row>
        <row r="27">
          <cell r="C27">
            <v>9052</v>
          </cell>
          <cell r="H27">
            <v>11307</v>
          </cell>
        </row>
        <row r="28">
          <cell r="C28">
            <v>219135</v>
          </cell>
          <cell r="H28">
            <v>529148</v>
          </cell>
        </row>
        <row r="29">
          <cell r="C29">
            <v>346110</v>
          </cell>
          <cell r="H29">
            <v>467838</v>
          </cell>
        </row>
        <row r="31">
          <cell r="C31">
            <v>643594</v>
          </cell>
          <cell r="H31">
            <v>1438404</v>
          </cell>
        </row>
        <row r="32">
          <cell r="C32">
            <v>65993</v>
          </cell>
          <cell r="H32">
            <v>75523</v>
          </cell>
        </row>
        <row r="33">
          <cell r="C33">
            <v>686086</v>
          </cell>
          <cell r="H33">
            <v>1493051</v>
          </cell>
        </row>
      </sheetData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sclaimer"/>
      <sheetName val="Data"/>
    </sheetNames>
    <sheetDataSet>
      <sheetData sheetId="0"/>
      <sheetData sheetId="1">
        <row r="9">
          <cell r="B9">
            <v>680187421459</v>
          </cell>
          <cell r="C9">
            <v>720528157060</v>
          </cell>
          <cell r="F9">
            <v>958513002608</v>
          </cell>
          <cell r="G9">
            <v>981555903300</v>
          </cell>
        </row>
        <row r="10">
          <cell r="B10">
            <v>2031956043630</v>
          </cell>
          <cell r="C10">
            <v>2194145057145</v>
          </cell>
          <cell r="F10">
            <v>2171559494827</v>
          </cell>
          <cell r="G10">
            <v>2288474419809</v>
          </cell>
        </row>
        <row r="11">
          <cell r="B11">
            <v>2149029069974</v>
          </cell>
          <cell r="C11">
            <v>2368180641683</v>
          </cell>
          <cell r="F11">
            <v>3278607737306</v>
          </cell>
          <cell r="G11">
            <v>3474633451418</v>
          </cell>
        </row>
        <row r="12">
          <cell r="B12">
            <v>929560084830</v>
          </cell>
          <cell r="C12">
            <v>984731133016</v>
          </cell>
          <cell r="F12">
            <v>1112593739828</v>
          </cell>
          <cell r="G12">
            <v>1131673099830</v>
          </cell>
        </row>
        <row r="13">
          <cell r="B13">
            <v>8041416131821</v>
          </cell>
          <cell r="C13">
            <v>8580379688511</v>
          </cell>
          <cell r="F13">
            <v>9446318892798</v>
          </cell>
          <cell r="G13">
            <v>9582906301567</v>
          </cell>
        </row>
      </sheetData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Disclaimer"/>
      <sheetName val="Daftar Isi"/>
      <sheetName val="i. Summary"/>
      <sheetName val="I. Diagram Venn"/>
      <sheetName val="II a.1. SID Total Prov"/>
      <sheetName val="II a.2. SID Total Kota"/>
      <sheetName val="II b.1. SID C-BEST Prov"/>
      <sheetName val="II b.2. SID C-BEST Kota"/>
      <sheetName val="II c.1. SID EBAE Prov"/>
      <sheetName val="II c.2. SID EBAE Kota"/>
      <sheetName val="II d.1. SID SBN Prov"/>
      <sheetName val="II d.2. SID SBN Kota"/>
      <sheetName val="II e.1. SID S-INVEST Prov"/>
      <sheetName val="II e.2. SID S-INVEST Kota"/>
      <sheetName val="III a. Transaksi Prov"/>
      <sheetName val="III b. Transaksi Kota"/>
      <sheetName val="IV a. Kepemilikan Prov"/>
      <sheetName val="IV b. Kepemilikan Kota"/>
      <sheetName val="V a. Data APERD per Provinsi"/>
      <sheetName val="V b. Data APERD per Kota"/>
      <sheetName val="VI. Glossary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>
        <row r="11">
          <cell r="F11">
            <v>915.77094862700005</v>
          </cell>
          <cell r="L11">
            <v>1014.071375747</v>
          </cell>
        </row>
        <row r="28">
          <cell r="F28">
            <v>5656.5582235620004</v>
          </cell>
          <cell r="L28">
            <v>7963.9919738380004</v>
          </cell>
        </row>
        <row r="40">
          <cell r="F40">
            <v>5923.9010321810001</v>
          </cell>
          <cell r="L40">
            <v>6424.0996658650001</v>
          </cell>
        </row>
        <row r="46">
          <cell r="F46">
            <v>1554.39586059</v>
          </cell>
          <cell r="L46">
            <v>1976.775182806</v>
          </cell>
        </row>
        <row r="48">
          <cell r="F48">
            <v>21723.587509018998</v>
          </cell>
          <cell r="L48">
            <v>26466.093143077</v>
          </cell>
        </row>
      </sheetData>
      <sheetData sheetId="18"/>
      <sheetData sheetId="19"/>
      <sheetData sheetId="20"/>
      <sheetData sheetId="21"/>
    </sheetDataSet>
  </externalBoo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ewer"/>
      <sheetName val="Cover"/>
      <sheetName val="Disclaimer"/>
      <sheetName val="Daftar Isi"/>
      <sheetName val="i. Summary"/>
      <sheetName val="I. Diagram Venn"/>
      <sheetName val="II a.1. SID Total Prov"/>
      <sheetName val="II a.2. SID Total Kota"/>
      <sheetName val="II b.1. SID C-BEST Prov"/>
      <sheetName val="II b.2. SID C-BEST Kota"/>
      <sheetName val="II c.1. SID EBAE Prov"/>
      <sheetName val="II c.2. SID EBAE Kota"/>
      <sheetName val="II d.1. SID SBN Prov"/>
      <sheetName val="II d.2. SID SBN Kota"/>
      <sheetName val="II e.1. SID S-INVEST Prov"/>
      <sheetName val="II e.2. SID S-INVEST Kota"/>
      <sheetName val="III a. Transaksi Prov"/>
      <sheetName val="III b. Transaksi Kota"/>
      <sheetName val="IV a. Kepemilikan Prov"/>
      <sheetName val="IV b. Kepemilikan Kota"/>
      <sheetName val="V a. Data APERD per Provinsi"/>
      <sheetName val="V b. Data APERD per Kota"/>
      <sheetName val="VI. Glossary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1">
          <cell r="F11">
            <v>685.42209207300004</v>
          </cell>
          <cell r="L11">
            <v>802.09167259900005</v>
          </cell>
        </row>
        <row r="28">
          <cell r="F28">
            <v>2920.6481747409998</v>
          </cell>
          <cell r="L28">
            <v>4951.5859937360001</v>
          </cell>
        </row>
        <row r="36">
          <cell r="F36">
            <v>4431.5824836129996</v>
          </cell>
          <cell r="L36">
            <v>4536.2633342070003</v>
          </cell>
        </row>
        <row r="42">
          <cell r="F42">
            <v>1220.661203207</v>
          </cell>
          <cell r="L42">
            <v>1603.5719165180001</v>
          </cell>
        </row>
        <row r="44">
          <cell r="F44">
            <v>17649.242083935998</v>
          </cell>
          <cell r="L44">
            <v>21203.413464060999</v>
          </cell>
        </row>
      </sheetData>
      <sheetData sheetId="19"/>
      <sheetData sheetId="20"/>
      <sheetData sheetId="21"/>
      <sheetData sheetId="2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052B03-516A-4252-9454-918217EE1BB1}">
  <sheetPr codeName="Sheet1"/>
  <dimension ref="A1:AM41"/>
  <sheetViews>
    <sheetView showGridLines="0" zoomScaleNormal="100" workbookViewId="0">
      <selection activeCell="C4" sqref="C4"/>
    </sheetView>
  </sheetViews>
  <sheetFormatPr defaultColWidth="8.77734375" defaultRowHeight="13.8" x14ac:dyDescent="0.25"/>
  <cols>
    <col min="1" max="1" width="8.77734375" style="15" bestFit="1" customWidth="1"/>
    <col min="2" max="2" width="8" style="15" hidden="1" customWidth="1"/>
    <col min="3" max="5" width="8.5546875" style="15" bestFit="1" customWidth="1"/>
    <col min="6" max="6" width="8.109375" style="15" bestFit="1" customWidth="1"/>
    <col min="7" max="7" width="7.77734375" style="15" bestFit="1" customWidth="1"/>
    <col min="8" max="8" width="0.6640625" style="15" customWidth="1"/>
    <col min="9" max="9" width="8.77734375" style="15" bestFit="1" customWidth="1"/>
    <col min="10" max="10" width="8" style="15" hidden="1" customWidth="1"/>
    <col min="11" max="13" width="8.5546875" style="15" bestFit="1" customWidth="1"/>
    <col min="14" max="15" width="8.77734375" style="15" bestFit="1" customWidth="1"/>
    <col min="16" max="16" width="0.6640625" style="15" customWidth="1"/>
    <col min="17" max="17" width="8.77734375" style="15" bestFit="1" customWidth="1"/>
    <col min="18" max="18" width="8" style="15" hidden="1" customWidth="1"/>
    <col min="19" max="21" width="8.5546875" style="15" bestFit="1" customWidth="1"/>
    <col min="22" max="22" width="8.33203125" style="15" bestFit="1" customWidth="1"/>
    <col min="23" max="23" width="8.5546875" style="15" customWidth="1"/>
    <col min="24" max="24" width="0.6640625" style="15" customWidth="1"/>
    <col min="25" max="25" width="8.77734375" style="15" bestFit="1" customWidth="1"/>
    <col min="26" max="26" width="8" style="15" hidden="1" customWidth="1"/>
    <col min="27" max="29" width="8.5546875" style="15" bestFit="1" customWidth="1"/>
    <col min="30" max="31" width="8.77734375" style="15" bestFit="1" customWidth="1"/>
    <col min="32" max="32" width="0.6640625" style="15" customWidth="1"/>
    <col min="33" max="33" width="8.77734375" style="15" bestFit="1" customWidth="1"/>
    <col min="34" max="34" width="8" style="15" hidden="1" customWidth="1"/>
    <col min="35" max="37" width="8.5546875" style="15" bestFit="1" customWidth="1"/>
    <col min="38" max="39" width="8.77734375" style="15" bestFit="1" customWidth="1"/>
    <col min="40" max="16384" width="8.77734375" style="15"/>
  </cols>
  <sheetData>
    <row r="1" spans="1:39" x14ac:dyDescent="0.25">
      <c r="A1" s="134" t="s">
        <v>39</v>
      </c>
      <c r="B1" s="134"/>
      <c r="C1" s="134"/>
      <c r="D1" s="134"/>
      <c r="E1" s="134"/>
      <c r="F1" s="134"/>
      <c r="G1" s="134"/>
      <c r="I1" s="134" t="s">
        <v>40</v>
      </c>
      <c r="J1" s="134"/>
      <c r="K1" s="134"/>
      <c r="L1" s="134"/>
      <c r="M1" s="134"/>
      <c r="N1" s="134"/>
      <c r="O1" s="134"/>
      <c r="Q1" s="134" t="s">
        <v>41</v>
      </c>
      <c r="R1" s="134"/>
      <c r="S1" s="134"/>
      <c r="T1" s="134"/>
      <c r="U1" s="134"/>
      <c r="V1" s="134"/>
      <c r="W1" s="134"/>
      <c r="Y1" s="134" t="s">
        <v>42</v>
      </c>
      <c r="Z1" s="134"/>
      <c r="AA1" s="134"/>
      <c r="AB1" s="134"/>
      <c r="AC1" s="134"/>
      <c r="AD1" s="134"/>
      <c r="AE1" s="134"/>
      <c r="AG1" s="134" t="s">
        <v>43</v>
      </c>
      <c r="AH1" s="134"/>
      <c r="AI1" s="134"/>
      <c r="AJ1" s="134"/>
      <c r="AK1" s="134"/>
      <c r="AL1" s="134"/>
      <c r="AM1" s="134"/>
    </row>
    <row r="2" spans="1:39" ht="14.55" customHeight="1" x14ac:dyDescent="0.25">
      <c r="A2" s="135"/>
      <c r="B2" s="138" t="s">
        <v>1</v>
      </c>
      <c r="C2" s="139"/>
      <c r="D2" s="139"/>
      <c r="E2" s="140"/>
      <c r="F2" s="135" t="s">
        <v>2</v>
      </c>
      <c r="G2" s="135" t="s">
        <v>3</v>
      </c>
      <c r="I2" s="135"/>
      <c r="J2" s="138" t="s">
        <v>1</v>
      </c>
      <c r="K2" s="139"/>
      <c r="L2" s="139"/>
      <c r="M2" s="140"/>
      <c r="N2" s="135" t="s">
        <v>2</v>
      </c>
      <c r="O2" s="135" t="s">
        <v>3</v>
      </c>
      <c r="Q2" s="135"/>
      <c r="R2" s="138" t="s">
        <v>1</v>
      </c>
      <c r="S2" s="139"/>
      <c r="T2" s="139"/>
      <c r="U2" s="140"/>
      <c r="V2" s="135" t="s">
        <v>2</v>
      </c>
      <c r="W2" s="135" t="s">
        <v>3</v>
      </c>
      <c r="Y2" s="135"/>
      <c r="Z2" s="138" t="s">
        <v>1</v>
      </c>
      <c r="AA2" s="139"/>
      <c r="AB2" s="139"/>
      <c r="AC2" s="140"/>
      <c r="AD2" s="137" t="s">
        <v>2</v>
      </c>
      <c r="AE2" s="137" t="s">
        <v>3</v>
      </c>
      <c r="AG2" s="135"/>
      <c r="AH2" s="138" t="s">
        <v>1</v>
      </c>
      <c r="AI2" s="139"/>
      <c r="AJ2" s="139"/>
      <c r="AK2" s="140"/>
      <c r="AL2" s="137" t="s">
        <v>2</v>
      </c>
      <c r="AM2" s="137" t="s">
        <v>3</v>
      </c>
    </row>
    <row r="3" spans="1:39" x14ac:dyDescent="0.25">
      <c r="A3" s="136"/>
      <c r="B3" s="9">
        <v>45627</v>
      </c>
      <c r="C3" s="9">
        <v>45870</v>
      </c>
      <c r="D3" s="9">
        <v>45992</v>
      </c>
      <c r="E3" s="9">
        <v>46235</v>
      </c>
      <c r="F3" s="136"/>
      <c r="G3" s="136"/>
      <c r="I3" s="136"/>
      <c r="J3" s="9">
        <v>45627</v>
      </c>
      <c r="K3" s="9">
        <f>C3</f>
        <v>45870</v>
      </c>
      <c r="L3" s="9">
        <f>D3</f>
        <v>45992</v>
      </c>
      <c r="M3" s="9">
        <f>E3</f>
        <v>46235</v>
      </c>
      <c r="N3" s="136"/>
      <c r="O3" s="136"/>
      <c r="Q3" s="136"/>
      <c r="R3" s="9">
        <v>45627</v>
      </c>
      <c r="S3" s="9">
        <f>K3</f>
        <v>45870</v>
      </c>
      <c r="T3" s="9">
        <f>L3</f>
        <v>45992</v>
      </c>
      <c r="U3" s="9">
        <f>M3</f>
        <v>46235</v>
      </c>
      <c r="V3" s="136"/>
      <c r="W3" s="136"/>
      <c r="Y3" s="136"/>
      <c r="Z3" s="9">
        <v>45627</v>
      </c>
      <c r="AA3" s="9">
        <f>S3</f>
        <v>45870</v>
      </c>
      <c r="AB3" s="9">
        <f>T3</f>
        <v>45992</v>
      </c>
      <c r="AC3" s="9">
        <f>U3</f>
        <v>46235</v>
      </c>
      <c r="AD3" s="137"/>
      <c r="AE3" s="137"/>
      <c r="AG3" s="136"/>
      <c r="AH3" s="9">
        <v>45627</v>
      </c>
      <c r="AI3" s="9">
        <f>AA3</f>
        <v>45870</v>
      </c>
      <c r="AJ3" s="9">
        <f>AB3</f>
        <v>45992</v>
      </c>
      <c r="AK3" s="9">
        <f>AC3</f>
        <v>46235</v>
      </c>
      <c r="AL3" s="137"/>
      <c r="AM3" s="137"/>
    </row>
    <row r="4" spans="1:39" x14ac:dyDescent="0.25">
      <c r="A4" s="1" t="s">
        <v>6</v>
      </c>
      <c r="B4" s="3">
        <v>346290.45957585901</v>
      </c>
      <c r="C4" s="3">
        <f>([1]Page1_1!$G$23)/1000000000</f>
        <v>360103.68582505302</v>
      </c>
      <c r="D4" s="3">
        <f>([1]Page1_1!$L$23)/1000000000</f>
        <v>356348.62067695102</v>
      </c>
      <c r="E4" s="3">
        <f>([1]Page1_1!$Q$23)/1000000000</f>
        <v>374793.96122600901</v>
      </c>
      <c r="F4" s="25">
        <f>E4/D4-1</f>
        <v>5.1762065232686005E-2</v>
      </c>
      <c r="G4" s="25">
        <f>E4/C4-1</f>
        <v>4.0794571061660401E-2</v>
      </c>
      <c r="I4" s="1" t="s">
        <v>6</v>
      </c>
      <c r="J4" s="3">
        <v>57251.775797690003</v>
      </c>
      <c r="K4" s="3">
        <f>([1]Page1_1!$G$19)/1000000000</f>
        <v>56481.235064134999</v>
      </c>
      <c r="L4" s="3">
        <f>([1]Page1_1!$L$19)/1000000000</f>
        <v>55998.751553276001</v>
      </c>
      <c r="M4" s="3">
        <f>([1]Page1_1!$Q$19)/1000000000</f>
        <v>59838.461147061003</v>
      </c>
      <c r="N4" s="25">
        <f>M4/L4-1</f>
        <v>6.8567771374902664E-2</v>
      </c>
      <c r="O4" s="25">
        <f>M4/K4-1</f>
        <v>5.9439671939075733E-2</v>
      </c>
      <c r="Q4" s="1" t="s">
        <v>6</v>
      </c>
      <c r="R4" s="3">
        <v>139124.54669960501</v>
      </c>
      <c r="S4" s="3">
        <f>([1]Page1_1!$G$21)/1000000000</f>
        <v>142160.76903135399</v>
      </c>
      <c r="T4" s="3">
        <f>([1]Page1_1!$L$21)/1000000000</f>
        <v>144447.11406120201</v>
      </c>
      <c r="U4" s="3">
        <f>([1]Page1_1!$Q$21)/1000000000</f>
        <v>150931.45207185901</v>
      </c>
      <c r="V4" s="25">
        <f>U4/T4-1</f>
        <v>4.4890741174030024E-2</v>
      </c>
      <c r="W4" s="25">
        <f>U4/S4-1</f>
        <v>6.1695523316778189E-2</v>
      </c>
      <c r="Y4" s="1" t="s">
        <v>6</v>
      </c>
      <c r="Z4" s="3">
        <v>81192.593779196002</v>
      </c>
      <c r="AA4" s="3">
        <f>([1]Page1_1!$G$22)/1000000000</f>
        <v>81222.634949076994</v>
      </c>
      <c r="AB4" s="3">
        <f>([1]Page1_1!$L$22)/1000000000</f>
        <v>82255.885528212995</v>
      </c>
      <c r="AC4" s="3">
        <f>([1]Page1_1!$Q$22)/1000000000</f>
        <v>87009.895551829002</v>
      </c>
      <c r="AD4" s="25">
        <f>AC4/AB4-1</f>
        <v>5.7795378325669278E-2</v>
      </c>
      <c r="AE4" s="25">
        <f>AC4/AA4-1</f>
        <v>7.1251820460889626E-2</v>
      </c>
      <c r="AG4" s="1" t="s">
        <v>6</v>
      </c>
      <c r="AH4" s="3">
        <v>96548.358053332006</v>
      </c>
      <c r="AI4" s="3">
        <f>([1]Page1_1!$G$20)/1000000000</f>
        <v>104966.571430084</v>
      </c>
      <c r="AJ4" s="3">
        <f>([1]Page1_1!$L$20)/1000000000</f>
        <v>108909.502405286</v>
      </c>
      <c r="AK4" s="3">
        <f>([1]Page1_1!$Q$20)/1000000000</f>
        <v>115985.62764580399</v>
      </c>
      <c r="AL4" s="25">
        <f>AK4/AJ4-1</f>
        <v>6.4972523831626328E-2</v>
      </c>
      <c r="AM4" s="25">
        <f>AK4/AI4-1</f>
        <v>0.10497681371882805</v>
      </c>
    </row>
    <row r="5" spans="1:39" x14ac:dyDescent="0.25">
      <c r="A5" s="1" t="s">
        <v>7</v>
      </c>
      <c r="B5" s="3">
        <v>323022.59423651203</v>
      </c>
      <c r="C5" s="3">
        <f>([2]Page1_1!$F$45)/1000000000</f>
        <v>331844.96478069201</v>
      </c>
      <c r="D5" s="3">
        <f>([2]Page1_1!$G$45)/1000000000</f>
        <v>332161.13511018798</v>
      </c>
      <c r="E5" s="3">
        <f>([2]Page1_1!$H$45)/1000000000</f>
        <v>347564.971751526</v>
      </c>
      <c r="F5" s="25">
        <f>E5/D5-1</f>
        <v>4.6374590561981677E-2</v>
      </c>
      <c r="G5" s="25">
        <f>E5/C5-1</f>
        <v>4.7371539843079846E-2</v>
      </c>
      <c r="I5" s="1" t="s">
        <v>7</v>
      </c>
      <c r="J5" s="3">
        <v>45666.315521117998</v>
      </c>
      <c r="K5" s="3">
        <f>([2]Page1_1!$F$13)/1000000000</f>
        <v>45658.446609885999</v>
      </c>
      <c r="L5" s="3">
        <f>([2]Page1_1!$G$13)/1000000000</f>
        <v>44976.444051621002</v>
      </c>
      <c r="M5" s="3">
        <f>([2]Page1_1!$H$13)/1000000000</f>
        <v>50613.963254347997</v>
      </c>
      <c r="N5" s="25">
        <f>M5/L5-1</f>
        <v>0.12534381767168212</v>
      </c>
      <c r="O5" s="25">
        <f>M5/K5-1</f>
        <v>0.1085344993622499</v>
      </c>
      <c r="Q5" s="1" t="s">
        <v>7</v>
      </c>
      <c r="R5" s="3">
        <v>126813.88363312501</v>
      </c>
      <c r="S5" s="3">
        <f>([2]Page1_1!$F$29)/1000000000</f>
        <v>131488.62986929101</v>
      </c>
      <c r="T5" s="3">
        <f>([2]Page1_1!$G$29)/1000000000</f>
        <v>133683.33827862301</v>
      </c>
      <c r="U5" s="3">
        <f>([2]Page1_1!$H$29)/1000000000</f>
        <v>139913.70611849101</v>
      </c>
      <c r="V5" s="25">
        <f>U5/T5-1</f>
        <v>4.6605417848577746E-2</v>
      </c>
      <c r="W5" s="25">
        <f>U5/S5-1</f>
        <v>6.4074561105208261E-2</v>
      </c>
      <c r="Y5" s="1" t="s">
        <v>7</v>
      </c>
      <c r="Z5" s="3">
        <v>54028.723546139001</v>
      </c>
      <c r="AA5" s="3">
        <f>([2]Page1_1!$F$37)/1000000000</f>
        <v>55610.267204623997</v>
      </c>
      <c r="AB5" s="3">
        <f>([2]Page1_1!$G$37)/1000000000</f>
        <v>56690.692057337998</v>
      </c>
      <c r="AC5" s="3">
        <f>([2]Page1_1!$H$37)/1000000000</f>
        <v>66053.295969911997</v>
      </c>
      <c r="AD5" s="25">
        <f>AC5/AB5-1</f>
        <v>0.16515240108736884</v>
      </c>
      <c r="AE5" s="25">
        <f>AC5/AA5-1</f>
        <v>0.1877895807776242</v>
      </c>
      <c r="AG5" s="1" t="s">
        <v>7</v>
      </c>
      <c r="AH5" s="3">
        <v>93481.805163105004</v>
      </c>
      <c r="AI5" s="3">
        <f>([2]Page1_1!$F$21)/1000000000</f>
        <v>100765.236353972</v>
      </c>
      <c r="AJ5" s="3">
        <f>([2]Page1_1!$G$21)/1000000000</f>
        <v>105825.36367261301</v>
      </c>
      <c r="AK5" s="3">
        <f>([2]Page1_1!$H$21)/1000000000</f>
        <v>111695.60269745599</v>
      </c>
      <c r="AL5" s="25">
        <f>AK5/AJ5-1</f>
        <v>5.5471002613357134E-2</v>
      </c>
      <c r="AM5" s="25">
        <f>AK5/AI5-1</f>
        <v>0.10847358413458563</v>
      </c>
    </row>
    <row r="6" spans="1:39" x14ac:dyDescent="0.25">
      <c r="A6" s="1" t="s">
        <v>8</v>
      </c>
      <c r="B6" s="3">
        <v>299818.55596845999</v>
      </c>
      <c r="C6" s="3">
        <f>([3]Page1_1!$F$42)/1000000000</f>
        <v>308653.18257372401</v>
      </c>
      <c r="D6" s="3">
        <f>([3]Page1_1!$G$42)/1000000000</f>
        <v>312192.44588559098</v>
      </c>
      <c r="E6" s="3">
        <f>([3]Page1_1!$H$42)/1000000000</f>
        <v>333834.68283965602</v>
      </c>
      <c r="F6" s="25">
        <f>E6/D6-1</f>
        <v>6.9323384467785187E-2</v>
      </c>
      <c r="G6" s="25">
        <f>E6/C6-1</f>
        <v>8.1585098381149024E-2</v>
      </c>
      <c r="I6" s="1" t="s">
        <v>8</v>
      </c>
      <c r="J6" s="3">
        <v>51644.250582483</v>
      </c>
      <c r="K6" s="3">
        <f>([3]Page1_1!$F$18)/1000000000</f>
        <v>52706.498412979003</v>
      </c>
      <c r="L6" s="3">
        <f>([3]Page1_1!$G$18)/1000000000</f>
        <v>53156.411517082997</v>
      </c>
      <c r="M6" s="3">
        <f>([3]Page1_1!$H$18)/1000000000</f>
        <v>61740.342216409001</v>
      </c>
      <c r="N6" s="25">
        <f>M6/L6-1</f>
        <v>0.16148439020507177</v>
      </c>
      <c r="O6" s="25">
        <f>M6/K6-1</f>
        <v>0.1713990508844998</v>
      </c>
      <c r="Q6" s="1" t="s">
        <v>8</v>
      </c>
      <c r="R6" s="3">
        <v>153625.02124456299</v>
      </c>
      <c r="S6" s="3">
        <f>([3]Page1_1!$F$30)/1000000000</f>
        <v>167740.927529562</v>
      </c>
      <c r="T6" s="3">
        <f>([3]Page1_1!$G$30)/1000000000</f>
        <v>174113.18174061901</v>
      </c>
      <c r="U6" s="3">
        <f>([3]Page1_1!$H$30)/1000000000</f>
        <v>187581.973627492</v>
      </c>
      <c r="V6" s="25">
        <f>U6/T6-1</f>
        <v>7.7356531838800091E-2</v>
      </c>
      <c r="W6" s="25">
        <f>U6/S6-1</f>
        <v>0.11828387019282038</v>
      </c>
      <c r="Y6" s="1" t="s">
        <v>8</v>
      </c>
      <c r="Z6" s="3">
        <v>78140.008120116006</v>
      </c>
      <c r="AA6" s="3">
        <f>([3]Page1_1!$F$36)/1000000000</f>
        <v>77545.080628755997</v>
      </c>
      <c r="AB6" s="3">
        <f>([3]Page1_1!$G$36)/1000000000</f>
        <v>78751.631128359004</v>
      </c>
      <c r="AC6" s="3">
        <f>([3]Page1_1!$H$36)/1000000000</f>
        <v>84289.733554691004</v>
      </c>
      <c r="AD6" s="25">
        <f>AC6/AB6-1</f>
        <v>7.0323653580016909E-2</v>
      </c>
      <c r="AE6" s="25">
        <f>AC6/AA6-1</f>
        <v>8.6977186318559108E-2</v>
      </c>
      <c r="AG6" s="1" t="s">
        <v>8</v>
      </c>
      <c r="AH6" s="3">
        <v>79107.763907859</v>
      </c>
      <c r="AI6" s="3">
        <f>([3]Page1_1!$F$24)/1000000000</f>
        <v>89148.631831866995</v>
      </c>
      <c r="AJ6" s="3">
        <f>([3]Page1_1!$G$24)/1000000000</f>
        <v>99554.902396225996</v>
      </c>
      <c r="AK6" s="3">
        <f>([3]Page1_1!$H$24)/1000000000</f>
        <v>119717.33511925599</v>
      </c>
      <c r="AL6" s="25">
        <f>AK6/AJ6-1</f>
        <v>0.20252576455536087</v>
      </c>
      <c r="AM6" s="25">
        <f>AK6/AI6-1</f>
        <v>0.34289593299694299</v>
      </c>
    </row>
    <row r="7" spans="1:39" x14ac:dyDescent="0.25">
      <c r="A7" s="1" t="s">
        <v>101</v>
      </c>
      <c r="B7" s="2"/>
      <c r="C7" s="2">
        <f>([3]Page1_1!$R$42)</f>
        <v>1.9082930328E-2</v>
      </c>
      <c r="D7" s="2">
        <f>([3]Page1_1!$S$42)</f>
        <v>1.8779505956999999E-2</v>
      </c>
      <c r="E7" s="2">
        <f>([3]Page1_1!$T$42)</f>
        <v>1.9560726042000001E-2</v>
      </c>
      <c r="F7" s="26">
        <f>(E7-D7)*10000</f>
        <v>7.8122008500000266</v>
      </c>
      <c r="G7" s="26">
        <f>(E7-C7)*10000</f>
        <v>4.7779571400000105</v>
      </c>
      <c r="I7" s="1" t="s">
        <v>101</v>
      </c>
      <c r="J7" s="2"/>
      <c r="K7" s="4">
        <f>([3]Page1_1!$R$18)</f>
        <v>2.1500620660000001E-2</v>
      </c>
      <c r="L7" s="4">
        <f>([3]Page1_1!$S$18)</f>
        <v>2.2363785420000001E-2</v>
      </c>
      <c r="M7" s="4">
        <f>([3]Page1_1!$T$18)</f>
        <v>2.3561531875999998E-2</v>
      </c>
      <c r="N7" s="26">
        <f>(M7-L7)*10000</f>
        <v>11.977464559999977</v>
      </c>
      <c r="O7" s="26">
        <f>(M7-K7)*10000</f>
        <v>20.609112159999977</v>
      </c>
      <c r="Q7" s="1" t="s">
        <v>101</v>
      </c>
      <c r="R7" s="2"/>
      <c r="S7" s="2">
        <f>([3]Page1_1!$R$30)</f>
        <v>1.6091225872000001E-2</v>
      </c>
      <c r="T7" s="2">
        <f>([3]Page1_1!$S$30)</f>
        <v>1.4853770929000001E-2</v>
      </c>
      <c r="U7" s="2">
        <f>([3]Page1_1!$T$30)</f>
        <v>1.4132923982000001E-2</v>
      </c>
      <c r="V7" s="26">
        <f>(U7-T7)*10000</f>
        <v>-7.2084694699999989</v>
      </c>
      <c r="W7" s="26">
        <f>(U7-S7)*10000</f>
        <v>-19.583018899999999</v>
      </c>
      <c r="Y7" s="1" t="s">
        <v>101</v>
      </c>
      <c r="Z7" s="2"/>
      <c r="AA7" s="2">
        <f>([3]Page1_1!$R$36)</f>
        <v>2.4500693292000001E-2</v>
      </c>
      <c r="AB7" s="2">
        <f>([3]Page1_1!$S$36)</f>
        <v>2.4162375680000001E-2</v>
      </c>
      <c r="AC7" s="2">
        <f>([3]Page1_1!$T$36)</f>
        <v>2.7177235128999999E-2</v>
      </c>
      <c r="AD7" s="26">
        <f>(AC7-AB7)*10000</f>
        <v>30.148594489999986</v>
      </c>
      <c r="AE7" s="26">
        <f>(AC7-AA7)*10000</f>
        <v>26.765418369999981</v>
      </c>
      <c r="AG7" s="1" t="s">
        <v>101</v>
      </c>
      <c r="AH7" s="2"/>
      <c r="AI7" s="2">
        <f>[3]Page1_1!$R$24</f>
        <v>2.7810896288999999E-2</v>
      </c>
      <c r="AJ7" s="2">
        <f>[3]Page1_1!$S$24</f>
        <v>2.3422563401000001E-2</v>
      </c>
      <c r="AK7" s="2">
        <f>[3]Page1_1!$T$24</f>
        <v>9.9214647949999995E-3</v>
      </c>
      <c r="AL7" s="26">
        <f>(AK7-AJ7)*10000</f>
        <v>-135.01098606000002</v>
      </c>
      <c r="AM7" s="26">
        <f>(AK7-AI7)*10000</f>
        <v>-178.89431493999999</v>
      </c>
    </row>
    <row r="8" spans="1:39" x14ac:dyDescent="0.25">
      <c r="A8" s="1" t="s">
        <v>102</v>
      </c>
      <c r="B8" s="2"/>
      <c r="C8" s="2">
        <f>([3]Page1_1!$X$42)</f>
        <v>7.8184944120000006E-3</v>
      </c>
      <c r="D8" s="2">
        <f>([3]Page1_1!$Y$42)</f>
        <v>7.3926369439999999E-3</v>
      </c>
      <c r="E8" s="2">
        <f>([3]Page1_1!$Z$42)</f>
        <v>7.7896847720000002E-3</v>
      </c>
      <c r="F8" s="26">
        <f>(E8-D8)*10000</f>
        <v>3.9704782800000036</v>
      </c>
      <c r="G8" s="26">
        <f>(E8-C8)*10000</f>
        <v>-0.28809640000000347</v>
      </c>
      <c r="I8" s="1" t="s">
        <v>102</v>
      </c>
      <c r="J8" s="2"/>
      <c r="K8" s="4">
        <f>([3]Page1_1!$X$18)</f>
        <v>9.0534596459999998E-3</v>
      </c>
      <c r="L8" s="4">
        <f>([3]Page1_1!$Y$18)</f>
        <v>9.3136878540000002E-3</v>
      </c>
      <c r="M8" s="4">
        <f>([3]Page1_1!$Z$18)</f>
        <v>7.6865298040000004E-3</v>
      </c>
      <c r="N8" s="26">
        <f>(M8-L8)*10000</f>
        <v>-16.271580499999999</v>
      </c>
      <c r="O8" s="26">
        <f>(M8-K8)*10000</f>
        <v>-13.669298419999995</v>
      </c>
      <c r="Q8" s="1" t="s">
        <v>102</v>
      </c>
      <c r="R8" s="2"/>
      <c r="S8" s="2">
        <f>([3]Page1_1!$X$30)</f>
        <v>6.5485553470000001E-3</v>
      </c>
      <c r="T8" s="2">
        <f>([3]Page1_1!$Y$30)</f>
        <v>5.9512539770000001E-3</v>
      </c>
      <c r="U8" s="2">
        <f>([3]Page1_1!$Z$30)</f>
        <v>5.4770194230000001E-3</v>
      </c>
      <c r="V8" s="26">
        <f>(U8-T8)*10000</f>
        <v>-4.7423455399999996</v>
      </c>
      <c r="W8" s="26">
        <f>(U8-S8)*10000</f>
        <v>-10.71535924</v>
      </c>
      <c r="Y8" s="1" t="s">
        <v>102</v>
      </c>
      <c r="Z8" s="2"/>
      <c r="AA8" s="2">
        <f>([3]Page1_1!$X$36)</f>
        <v>8.9702236859999993E-3</v>
      </c>
      <c r="AB8" s="2">
        <f>([3]Page1_1!$Y$36)</f>
        <v>9.1592528570000002E-3</v>
      </c>
      <c r="AC8" s="2">
        <f>([3]Page1_1!$Z$36)</f>
        <v>1.1157085404000001E-2</v>
      </c>
      <c r="AD8" s="26">
        <f>(AC8-AB8)*10000</f>
        <v>19.978325470000005</v>
      </c>
      <c r="AE8" s="26">
        <f>(AC8-AA8)*10000</f>
        <v>21.868617180000015</v>
      </c>
      <c r="AG8" s="1" t="s">
        <v>102</v>
      </c>
      <c r="AH8" s="2"/>
      <c r="AI8" s="2">
        <f>[3]Page1_1!$X$24</f>
        <v>1.1990730995000001E-2</v>
      </c>
      <c r="AJ8" s="2">
        <f>[3]Page1_1!$Y$24</f>
        <v>9.7908129760000007E-3</v>
      </c>
      <c r="AK8" s="2">
        <f>[3]Page1_1!$Z$24</f>
        <v>5.0408429770000002E-3</v>
      </c>
      <c r="AL8" s="26">
        <f>(AK8-AJ8)*10000</f>
        <v>-47.499699990000003</v>
      </c>
      <c r="AM8" s="26">
        <f>(AK8-AI8)*10000</f>
        <v>-69.49888018</v>
      </c>
    </row>
    <row r="9" spans="1:39" x14ac:dyDescent="0.25">
      <c r="A9" s="1" t="s">
        <v>10</v>
      </c>
      <c r="B9" s="4"/>
      <c r="C9" s="4">
        <f>SUM([4]Page1_1!$D$35,[4]Page1_1!$G$35)/SUM([4]Page1_1!$E$35,[4]Page1_1!$G$35)</f>
        <v>6.2144153014318859E-2</v>
      </c>
      <c r="D9" s="4">
        <f>SUM([4]Page1_1!$D$36,[4]Page1_1!$G$36)/SUM([4]Page1_1!$E$36,[4]Page1_1!$G$36)</f>
        <v>6.2088710162700435E-2</v>
      </c>
      <c r="E9" s="4">
        <f>SUM([4]Page1_1!$D$37,[4]Page1_1!$G$37)/SUM([4]Page1_1!$E$37,[4]Page1_1!$G$37)</f>
        <v>6.1976416807314014E-2</v>
      </c>
      <c r="F9" s="26">
        <f>(E9-D9)*10000</f>
        <v>-1.1229335538642111</v>
      </c>
      <c r="G9" s="26">
        <f>(E9-C9)*10000</f>
        <v>-1.6773620700484548</v>
      </c>
      <c r="I9" s="1" t="s">
        <v>10</v>
      </c>
      <c r="J9" s="4"/>
      <c r="K9" s="4">
        <f>SUM([4]Page1_1!$D$11,[4]Page1_1!$G$11)/SUM([4]Page1_1!$E$11,[4]Page1_1!$G$11)</f>
        <v>5.9116082142344185E-2</v>
      </c>
      <c r="L9" s="4">
        <f>SUM([4]Page1_1!$D$12,[4]Page1_1!$G$12)/SUM([4]Page1_1!$E$12,[4]Page1_1!$G$12)</f>
        <v>0.27097959855075726</v>
      </c>
      <c r="M9" s="4">
        <f>SUM([4]Page1_1!$D$13,[4]Page1_1!$G$13)/SUM([4]Page1_1!$E$13,[4]Page1_1!$G$13)</f>
        <v>0.2706460323768981</v>
      </c>
      <c r="N9" s="26">
        <f>(M9-L9)*10000</f>
        <v>-3.3356617385915666</v>
      </c>
      <c r="O9" s="26">
        <f>(M9-K9)*10000</f>
        <v>2115.2995023455392</v>
      </c>
      <c r="Q9" s="1" t="s">
        <v>10</v>
      </c>
      <c r="R9" s="4"/>
      <c r="S9" s="4">
        <f>SUM([4]Page1_1!$D$23,[4]Page1_1!$G$23)/SUM([4]Page1_1!$E$23,[4]Page1_1!$G$23)</f>
        <v>5.4496259067632627E-2</v>
      </c>
      <c r="T9" s="4">
        <f>SUM([4]Page1_1!$D$24,[4]Page1_1!$G$24)/SUM([4]Page1_1!$E$24,[4]Page1_1!$G$24)</f>
        <v>4.9781346086244842E-2</v>
      </c>
      <c r="U9" s="4">
        <f>SUM([4]Page1_1!$D$25,[4]Page1_1!$G$25)/SUM([4]Page1_1!$E$25,[4]Page1_1!$G$25)</f>
        <v>4.7778908495258857E-2</v>
      </c>
      <c r="V9" s="26">
        <f>(U9-T9)*10000</f>
        <v>-20.024375909859852</v>
      </c>
      <c r="W9" s="26">
        <f>(U9-S9)*10000</f>
        <v>-67.173505723737705</v>
      </c>
      <c r="Y9" s="1" t="s">
        <v>10</v>
      </c>
      <c r="Z9" s="4"/>
      <c r="AA9" s="4">
        <f>SUM([4]Page1_1!$D$29,[4]Page1_1!$G$29)/SUM([4]Page1_1!$E$29,[4]Page1_1!$G$29)</f>
        <v>9.7898582391257816E-2</v>
      </c>
      <c r="AB9" s="4">
        <f>SUM([4]Page1_1!$D$30,[4]Page1_1!$G$30)/SUM([4]Page1_1!$E$30,[4]Page1_1!$G$30)</f>
        <v>9.5594733755273664E-2</v>
      </c>
      <c r="AC9" s="4">
        <f>SUM([4]Page1_1!$D$31,[4]Page1_1!$G$31)/SUM([4]Page1_1!$E$31,[4]Page1_1!$G$31)</f>
        <v>9.1634424352503407E-2</v>
      </c>
      <c r="AD9" s="26">
        <f>(AC9-AB9)*10000</f>
        <v>-39.603094027702568</v>
      </c>
      <c r="AE9" s="26">
        <f>(AC9-AA9)*10000</f>
        <v>-62.641580387544082</v>
      </c>
      <c r="AG9" s="1" t="s">
        <v>10</v>
      </c>
      <c r="AH9" s="4"/>
      <c r="AI9" s="4">
        <f>SUM([4]Page1_1!$D$17,[4]Page1_1!$G$17)/SUM([4]Page1_1!$E$17,[4]Page1_1!$G$17)</f>
        <v>0.10990068141374207</v>
      </c>
      <c r="AJ9" s="4">
        <f>SUM([4]Page1_1!$D$18,[4]Page1_1!$G$18)/SUM([4]Page1_1!$E$18,[4]Page1_1!$G$18)</f>
        <v>8.4233931882654323E-2</v>
      </c>
      <c r="AK9" s="4">
        <f>SUM([4]Page1_1!$D$19,[4]Page1_1!$G$19)/SUM([4]Page1_1!$E$19,[4]Page1_1!$G$19)</f>
        <v>7.0710414323342213E-2</v>
      </c>
      <c r="AL9" s="26">
        <f>(AK9-AJ9)*10000</f>
        <v>-135.23517559312108</v>
      </c>
      <c r="AM9" s="26">
        <f>(AK9-AI9)*10000</f>
        <v>-391.90267090399857</v>
      </c>
    </row>
    <row r="10" spans="1:39" x14ac:dyDescent="0.25">
      <c r="A10" s="1" t="s">
        <v>11</v>
      </c>
      <c r="B10" s="2"/>
      <c r="C10" s="2">
        <f>C6/C5</f>
        <v>0.93011259874834962</v>
      </c>
      <c r="D10" s="2">
        <f>D6/D5</f>
        <v>0.93988252352891077</v>
      </c>
      <c r="E10" s="2">
        <f>E6/E5</f>
        <v>0.96049576330239128</v>
      </c>
      <c r="F10" s="27">
        <f>(E10-D10)*10000</f>
        <v>206.13239773480507</v>
      </c>
      <c r="G10" s="27">
        <f>(E10-C10)*10000</f>
        <v>303.83164554041662</v>
      </c>
      <c r="I10" s="1" t="s">
        <v>11</v>
      </c>
      <c r="J10" s="2"/>
      <c r="K10" s="2">
        <f>K6/K5</f>
        <v>1.1543646866331838</v>
      </c>
      <c r="L10" s="2">
        <f>L6/L5</f>
        <v>1.1818722586444044</v>
      </c>
      <c r="M10" s="2">
        <f>M6/M5</f>
        <v>1.2198282498872521</v>
      </c>
      <c r="N10" s="27">
        <f>(M10-L10)*10000</f>
        <v>379.55991242847762</v>
      </c>
      <c r="O10" s="27">
        <f>(M10-K10)*10000</f>
        <v>654.63563254068322</v>
      </c>
      <c r="Q10" s="1" t="s">
        <v>11</v>
      </c>
      <c r="R10" s="2"/>
      <c r="S10" s="2">
        <f>S6/S5</f>
        <v>1.2757067108867766</v>
      </c>
      <c r="T10" s="2">
        <f>T6/T5</f>
        <v>1.3024299361655083</v>
      </c>
      <c r="U10" s="2">
        <f>U6/U5</f>
        <v>1.3406976259254499</v>
      </c>
      <c r="V10" s="27">
        <f>(U10-T10)*10000</f>
        <v>382.67689759941658</v>
      </c>
      <c r="W10" s="27">
        <f>(U10-S10)*10000</f>
        <v>649.90915038673381</v>
      </c>
      <c r="Y10" s="1" t="s">
        <v>11</v>
      </c>
      <c r="Z10" s="2"/>
      <c r="AA10" s="2">
        <f>AA6/AA5</f>
        <v>1.3944381950804243</v>
      </c>
      <c r="AB10" s="2">
        <f>AB6/AB5</f>
        <v>1.3891457004742185</v>
      </c>
      <c r="AC10" s="2">
        <f>AC6/AC5</f>
        <v>1.2760867162947616</v>
      </c>
      <c r="AD10" s="27">
        <f>(AC10-AB10)*10000</f>
        <v>-1130.5898417945693</v>
      </c>
      <c r="AE10" s="27">
        <f>(AC10-AA10)*10000</f>
        <v>-1183.5147878566277</v>
      </c>
      <c r="AG10" s="1" t="s">
        <v>11</v>
      </c>
      <c r="AH10" s="2"/>
      <c r="AI10" s="2">
        <f>AI6/AI5</f>
        <v>0.88471614871920956</v>
      </c>
      <c r="AJ10" s="2">
        <f>AJ6/AJ5</f>
        <v>0.94074708502032045</v>
      </c>
      <c r="AK10" s="2">
        <f>AK6/AK5</f>
        <v>1.0718177996991345</v>
      </c>
      <c r="AL10" s="27">
        <f>(AK10-AJ10)*10000</f>
        <v>1310.7071467881403</v>
      </c>
      <c r="AM10" s="27">
        <f>(AK10-AI10)*10000</f>
        <v>1871.0165097992492</v>
      </c>
    </row>
    <row r="12" spans="1:39" x14ac:dyDescent="0.25">
      <c r="C12" s="72">
        <f>C7*C6</f>
        <v>5890.0071785698392</v>
      </c>
      <c r="D12" s="72">
        <f>D7*D6</f>
        <v>5862.8198972388554</v>
      </c>
      <c r="E12" s="72">
        <f>E7*E6</f>
        <v>6530.0487743444701</v>
      </c>
      <c r="K12" s="72">
        <f>K7*K6</f>
        <v>1133.2224286943535</v>
      </c>
      <c r="L12" s="72">
        <f>L7*L6</f>
        <v>1188.7785808652609</v>
      </c>
      <c r="M12" s="72">
        <f>M7*M6</f>
        <v>1454.6970411670691</v>
      </c>
      <c r="S12" s="72">
        <f>S7*S6</f>
        <v>2699.1571528569652</v>
      </c>
      <c r="T12" s="72">
        <f>T7*T6</f>
        <v>2586.2373172945004</v>
      </c>
      <c r="U12" s="72">
        <f>U7*U6</f>
        <v>2651.0817736708732</v>
      </c>
      <c r="AA12" s="72">
        <f>AA7*AA6</f>
        <v>1899.9082367885612</v>
      </c>
      <c r="AB12" s="72">
        <f>AB7*AB6</f>
        <v>1902.8264967361927</v>
      </c>
      <c r="AC12" s="72">
        <f>AC7*AC6</f>
        <v>2290.7619077765985</v>
      </c>
      <c r="AI12" s="72">
        <f>AI7*AI6</f>
        <v>2479.303354182297</v>
      </c>
      <c r="AJ12" s="72">
        <f>AJ7*AJ6</f>
        <v>2331.8310132559704</v>
      </c>
      <c r="AK12" s="72">
        <f>AK7*AK6</f>
        <v>1187.7713257369153</v>
      </c>
    </row>
    <row r="14" spans="1:39" x14ac:dyDescent="0.25">
      <c r="A14" s="63"/>
      <c r="B14" s="64"/>
      <c r="C14" s="65">
        <f>B3</f>
        <v>45627</v>
      </c>
      <c r="D14" s="65">
        <f>C3</f>
        <v>45870</v>
      </c>
      <c r="E14" s="65">
        <f>D3</f>
        <v>45992</v>
      </c>
      <c r="F14" s="65">
        <f>E3</f>
        <v>46235</v>
      </c>
      <c r="AB14" s="72"/>
      <c r="AC14" s="72"/>
      <c r="AD14" s="72"/>
      <c r="AE14" s="72"/>
      <c r="AF14" s="72">
        <f>(O7*O6)</f>
        <v>3.5323822637961997</v>
      </c>
    </row>
    <row r="15" spans="1:39" x14ac:dyDescent="0.25">
      <c r="A15" s="62" t="s">
        <v>6</v>
      </c>
      <c r="B15" s="1" t="s">
        <v>71</v>
      </c>
      <c r="C15" s="50">
        <f>$B$4</f>
        <v>346290.45957585901</v>
      </c>
      <c r="D15" s="50">
        <f>$C$4</f>
        <v>360103.68582505302</v>
      </c>
      <c r="E15" s="50">
        <f>$D$4</f>
        <v>356348.62067695102</v>
      </c>
      <c r="F15" s="50">
        <f>$E$4</f>
        <v>374793.96122600901</v>
      </c>
      <c r="AA15" s="15">
        <v>5805.9258952220307</v>
      </c>
      <c r="AB15" s="15">
        <v>5862.8198972388554</v>
      </c>
      <c r="AC15" s="15">
        <v>6316.7590750119625</v>
      </c>
    </row>
    <row r="16" spans="1:39" x14ac:dyDescent="0.25">
      <c r="A16" s="63"/>
      <c r="B16" s="1" t="s">
        <v>72</v>
      </c>
      <c r="C16" s="50">
        <f>$J$4</f>
        <v>57251.775797690003</v>
      </c>
      <c r="D16" s="50">
        <f>$K$4</f>
        <v>56481.235064134999</v>
      </c>
      <c r="E16" s="50">
        <f>$L$4</f>
        <v>55998.751553276001</v>
      </c>
      <c r="F16" s="50">
        <f>$M$4</f>
        <v>59838.461147061003</v>
      </c>
      <c r="AA16" s="15">
        <v>1139.9476159655869</v>
      </c>
      <c r="AB16" s="15">
        <v>1188.7785808652609</v>
      </c>
      <c r="AC16" s="15">
        <v>1418.1595974426143</v>
      </c>
    </row>
    <row r="17" spans="1:31" x14ac:dyDescent="0.25">
      <c r="A17" s="63"/>
      <c r="B17" s="1" t="s">
        <v>73</v>
      </c>
      <c r="C17" s="50">
        <f>$R$4</f>
        <v>139124.54669960501</v>
      </c>
      <c r="D17" s="50">
        <f>$S$4</f>
        <v>142160.76903135399</v>
      </c>
      <c r="E17" s="50">
        <f>$T$4</f>
        <v>144447.11406120201</v>
      </c>
      <c r="F17" s="50">
        <f>$U$4</f>
        <v>150931.45207185901</v>
      </c>
      <c r="AA17" s="15">
        <v>2725.775391356568</v>
      </c>
      <c r="AB17" s="15">
        <v>2586.2373172945004</v>
      </c>
      <c r="AC17" s="15">
        <v>2748.3084168200612</v>
      </c>
    </row>
    <row r="18" spans="1:31" x14ac:dyDescent="0.25">
      <c r="A18" s="63"/>
      <c r="B18" s="1" t="s">
        <v>74</v>
      </c>
      <c r="C18" s="50">
        <f>$Z$4</f>
        <v>81192.593779196002</v>
      </c>
      <c r="D18" s="50">
        <f>$AA$4</f>
        <v>81222.634949076994</v>
      </c>
      <c r="E18" s="50">
        <f>$AB$4</f>
        <v>82255.885528212995</v>
      </c>
      <c r="F18" s="50">
        <f>$AC$4</f>
        <v>87009.895551829002</v>
      </c>
      <c r="AA18" s="15">
        <v>1813.8838681473567</v>
      </c>
      <c r="AB18" s="15">
        <v>1902.8264967361927</v>
      </c>
      <c r="AC18" s="15">
        <v>2150.6635982800312</v>
      </c>
    </row>
    <row r="19" spans="1:31" x14ac:dyDescent="0.25">
      <c r="A19" s="63"/>
      <c r="B19" s="1" t="s">
        <v>75</v>
      </c>
      <c r="C19" s="50">
        <f>$AH$4</f>
        <v>96548.358053332006</v>
      </c>
      <c r="D19" s="50">
        <f>$AI$4</f>
        <v>104966.571430084</v>
      </c>
      <c r="E19" s="50">
        <f>$AJ$4</f>
        <v>108909.502405286</v>
      </c>
      <c r="F19" s="50">
        <f>$AK$4</f>
        <v>115985.62764580399</v>
      </c>
      <c r="AA19" s="15">
        <v>2433.7643490134446</v>
      </c>
      <c r="AB19" s="15">
        <v>2331.8310132559704</v>
      </c>
      <c r="AC19" s="15">
        <v>1218.5824644587842</v>
      </c>
    </row>
    <row r="20" spans="1:31" x14ac:dyDescent="0.25">
      <c r="Y20" s="15" t="s">
        <v>107</v>
      </c>
      <c r="AA20" s="19">
        <f>SUM(B6,K6,S6,AA6,AI6)</f>
        <v>686959.69437162403</v>
      </c>
      <c r="AB20" s="19">
        <f>SUM(C6,L6,T6,AB6,AJ6)</f>
        <v>714229.30935601098</v>
      </c>
      <c r="AC20" s="19">
        <f>SUM(D6,M6,U6,AC6,AK6)</f>
        <v>765521.830403439</v>
      </c>
      <c r="AD20" s="95"/>
      <c r="AE20" s="95"/>
    </row>
    <row r="21" spans="1:31" x14ac:dyDescent="0.25">
      <c r="A21" s="63"/>
      <c r="B21" s="64"/>
      <c r="C21" s="65">
        <f>C14</f>
        <v>45627</v>
      </c>
      <c r="D21" s="65">
        <f>D14</f>
        <v>45870</v>
      </c>
      <c r="E21" s="65">
        <f>E14</f>
        <v>45992</v>
      </c>
      <c r="F21" s="65">
        <f>F14</f>
        <v>46235</v>
      </c>
      <c r="AA21" s="18">
        <f>SUM(AA15:AA19)/AA20</f>
        <v>2.026217438045947E-2</v>
      </c>
      <c r="AB21" s="18">
        <f>SUM(AB15:AB19)/AB20</f>
        <v>1.9423024403603644E-2</v>
      </c>
      <c r="AC21" s="18">
        <f>SUM(AC15:AC19)/AC20</f>
        <v>1.8095464560054463E-2</v>
      </c>
      <c r="AD21" s="95"/>
      <c r="AE21" s="95"/>
    </row>
    <row r="22" spans="1:31" x14ac:dyDescent="0.25">
      <c r="A22" s="62" t="s">
        <v>7</v>
      </c>
      <c r="B22" s="1" t="s">
        <v>71</v>
      </c>
      <c r="C22" s="50">
        <f>$B$5</f>
        <v>323022.59423651203</v>
      </c>
      <c r="D22" s="50">
        <f>$C$5</f>
        <v>331844.96478069201</v>
      </c>
      <c r="E22" s="50">
        <f>$D$5</f>
        <v>332161.13511018798</v>
      </c>
      <c r="F22" s="50">
        <f>$E$5</f>
        <v>347564.971751526</v>
      </c>
      <c r="AB22" s="95"/>
      <c r="AC22" s="95"/>
      <c r="AD22" s="95"/>
      <c r="AE22" s="95"/>
    </row>
    <row r="23" spans="1:31" x14ac:dyDescent="0.25">
      <c r="A23" s="63"/>
      <c r="B23" s="1" t="s">
        <v>72</v>
      </c>
      <c r="C23" s="50">
        <f>$J$5</f>
        <v>45666.315521117998</v>
      </c>
      <c r="D23" s="50">
        <f>$K$5</f>
        <v>45658.446609885999</v>
      </c>
      <c r="E23" s="50">
        <f>$L$5</f>
        <v>44976.444051621002</v>
      </c>
      <c r="F23" s="50">
        <f>$M$5</f>
        <v>50613.963254347997</v>
      </c>
      <c r="AB23" s="95"/>
      <c r="AC23" s="95"/>
      <c r="AD23" s="95"/>
      <c r="AE23" s="95"/>
    </row>
    <row r="24" spans="1:31" x14ac:dyDescent="0.25">
      <c r="A24" s="63"/>
      <c r="B24" s="1" t="s">
        <v>73</v>
      </c>
      <c r="C24" s="50">
        <f>$R$5</f>
        <v>126813.88363312501</v>
      </c>
      <c r="D24" s="50">
        <f>$S$5</f>
        <v>131488.62986929101</v>
      </c>
      <c r="E24" s="50">
        <f>$T$5</f>
        <v>133683.33827862301</v>
      </c>
      <c r="F24" s="50">
        <f>$U$5</f>
        <v>139913.70611849101</v>
      </c>
    </row>
    <row r="25" spans="1:31" x14ac:dyDescent="0.25">
      <c r="A25" s="63"/>
      <c r="B25" s="1" t="s">
        <v>74</v>
      </c>
      <c r="C25" s="50">
        <f>$Z$5</f>
        <v>54028.723546139001</v>
      </c>
      <c r="D25" s="50">
        <f>$AA$5</f>
        <v>55610.267204623997</v>
      </c>
      <c r="E25" s="50">
        <f>$AB$5</f>
        <v>56690.692057337998</v>
      </c>
      <c r="F25" s="50">
        <f>$AC$5</f>
        <v>66053.295969911997</v>
      </c>
    </row>
    <row r="26" spans="1:31" x14ac:dyDescent="0.25">
      <c r="A26" s="63"/>
      <c r="B26" s="1" t="s">
        <v>75</v>
      </c>
      <c r="C26" s="50">
        <f>$AH$5</f>
        <v>93481.805163105004</v>
      </c>
      <c r="D26" s="50">
        <f>$AI$5</f>
        <v>100765.236353972</v>
      </c>
      <c r="E26" s="50">
        <f>$AJ$5</f>
        <v>105825.36367261301</v>
      </c>
      <c r="F26" s="50">
        <f>$AK$5</f>
        <v>111695.60269745599</v>
      </c>
    </row>
    <row r="28" spans="1:31" x14ac:dyDescent="0.25">
      <c r="A28" s="63"/>
      <c r="B28" s="64"/>
      <c r="C28" s="65">
        <f>C21</f>
        <v>45627</v>
      </c>
      <c r="D28" s="65">
        <f>D21</f>
        <v>45870</v>
      </c>
      <c r="E28" s="65">
        <f>E21</f>
        <v>45992</v>
      </c>
      <c r="F28" s="65">
        <f>F21</f>
        <v>46235</v>
      </c>
    </row>
    <row r="29" spans="1:31" x14ac:dyDescent="0.25">
      <c r="A29" s="62" t="s">
        <v>8</v>
      </c>
      <c r="B29" s="1" t="s">
        <v>71</v>
      </c>
      <c r="C29" s="50">
        <f>$B$6</f>
        <v>299818.55596845999</v>
      </c>
      <c r="D29" s="50">
        <f>$C$6</f>
        <v>308653.18257372401</v>
      </c>
      <c r="E29" s="50">
        <f>$D$6</f>
        <v>312192.44588559098</v>
      </c>
      <c r="F29" s="50">
        <f>$E$6</f>
        <v>333834.68283965602</v>
      </c>
    </row>
    <row r="30" spans="1:31" x14ac:dyDescent="0.25">
      <c r="A30" s="63"/>
      <c r="B30" s="1" t="s">
        <v>72</v>
      </c>
      <c r="C30" s="50">
        <f>$J$6</f>
        <v>51644.250582483</v>
      </c>
      <c r="D30" s="50">
        <f>$K$6</f>
        <v>52706.498412979003</v>
      </c>
      <c r="E30" s="50">
        <f>$L$6</f>
        <v>53156.411517082997</v>
      </c>
      <c r="F30" s="50">
        <f>$M$6</f>
        <v>61740.342216409001</v>
      </c>
    </row>
    <row r="31" spans="1:31" x14ac:dyDescent="0.25">
      <c r="A31" s="63"/>
      <c r="B31" s="1" t="s">
        <v>73</v>
      </c>
      <c r="C31" s="50">
        <f>$R$6</f>
        <v>153625.02124456299</v>
      </c>
      <c r="D31" s="50">
        <f>$S$6</f>
        <v>167740.927529562</v>
      </c>
      <c r="E31" s="50">
        <f>$T$6</f>
        <v>174113.18174061901</v>
      </c>
      <c r="F31" s="50">
        <f>$U$6</f>
        <v>187581.973627492</v>
      </c>
    </row>
    <row r="32" spans="1:31" x14ac:dyDescent="0.25">
      <c r="A32" s="63"/>
      <c r="B32" s="1" t="s">
        <v>74</v>
      </c>
      <c r="C32" s="50">
        <f>$Z$6</f>
        <v>78140.008120116006</v>
      </c>
      <c r="D32" s="50">
        <f>$AA$6</f>
        <v>77545.080628755997</v>
      </c>
      <c r="E32" s="50">
        <f>$AB$6</f>
        <v>78751.631128359004</v>
      </c>
      <c r="F32" s="50">
        <f>$AC$6</f>
        <v>84289.733554691004</v>
      </c>
    </row>
    <row r="33" spans="1:19" x14ac:dyDescent="0.25">
      <c r="A33" s="63"/>
      <c r="B33" s="1" t="s">
        <v>75</v>
      </c>
      <c r="C33" s="50">
        <f>$AH$6</f>
        <v>79107.763907859</v>
      </c>
      <c r="D33" s="50">
        <f>$AI$6</f>
        <v>89148.631831866995</v>
      </c>
      <c r="E33" s="50">
        <f>$AJ$6</f>
        <v>99554.902396225996</v>
      </c>
      <c r="F33" s="50">
        <f>$AK$6</f>
        <v>119717.33511925599</v>
      </c>
    </row>
    <row r="41" spans="1:19" x14ac:dyDescent="0.25">
      <c r="S41" s="15" t="s">
        <v>76</v>
      </c>
    </row>
  </sheetData>
  <mergeCells count="25">
    <mergeCell ref="F2:F3"/>
    <mergeCell ref="G2:G3"/>
    <mergeCell ref="A2:A3"/>
    <mergeCell ref="A1:G1"/>
    <mergeCell ref="B2:E2"/>
    <mergeCell ref="I2:I3"/>
    <mergeCell ref="N2:N3"/>
    <mergeCell ref="O2:O3"/>
    <mergeCell ref="I1:O1"/>
    <mergeCell ref="J2:M2"/>
    <mergeCell ref="Q1:W1"/>
    <mergeCell ref="Q2:Q3"/>
    <mergeCell ref="V2:V3"/>
    <mergeCell ref="W2:W3"/>
    <mergeCell ref="R2:U2"/>
    <mergeCell ref="Y1:AE1"/>
    <mergeCell ref="Y2:Y3"/>
    <mergeCell ref="AD2:AD3"/>
    <mergeCell ref="AE2:AE3"/>
    <mergeCell ref="Z2:AC2"/>
    <mergeCell ref="AG1:AM1"/>
    <mergeCell ref="AG2:AG3"/>
    <mergeCell ref="AL2:AL3"/>
    <mergeCell ref="AM2:AM3"/>
    <mergeCell ref="AH2:AK2"/>
  </mergeCells>
  <conditionalFormatting sqref="G4:G6">
    <cfRule type="dataBar" priority="13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{7BA6C1B9-31FE-4E69-B357-9E4561F001D4}</x14:id>
        </ext>
      </extLst>
    </cfRule>
  </conditionalFormatting>
  <conditionalFormatting sqref="G4">
    <cfRule type="iconSet" priority="137">
      <iconSet iconSet="3Arrows">
        <cfvo type="percent" val="0"/>
        <cfvo type="num" val="0" gte="0"/>
        <cfvo type="num" val="0" gte="0"/>
      </iconSet>
    </cfRule>
  </conditionalFormatting>
  <conditionalFormatting sqref="G5">
    <cfRule type="iconSet" priority="136">
      <iconSet iconSet="3Arrows">
        <cfvo type="percent" val="0"/>
        <cfvo type="num" val="0" gte="0"/>
        <cfvo type="num" val="0" gte="0"/>
      </iconSet>
    </cfRule>
  </conditionalFormatting>
  <conditionalFormatting sqref="G6">
    <cfRule type="iconSet" priority="135">
      <iconSet iconSet="3Arrows">
        <cfvo type="percent" val="0"/>
        <cfvo type="num" val="0" gte="0"/>
        <cfvo type="num" val="0" gte="0"/>
      </iconSet>
    </cfRule>
  </conditionalFormatting>
  <conditionalFormatting sqref="F4:F6">
    <cfRule type="dataBar" priority="13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{CED59BF0-ED04-4B7F-94C3-1A8F29DEF1CF}</x14:id>
        </ext>
      </extLst>
    </cfRule>
  </conditionalFormatting>
  <conditionalFormatting sqref="F4">
    <cfRule type="iconSet" priority="133">
      <iconSet iconSet="3Arrows">
        <cfvo type="percent" val="0"/>
        <cfvo type="num" val="0" gte="0"/>
        <cfvo type="num" val="0" gte="0"/>
      </iconSet>
    </cfRule>
  </conditionalFormatting>
  <conditionalFormatting sqref="F5">
    <cfRule type="iconSet" priority="132">
      <iconSet iconSet="3Arrows">
        <cfvo type="percent" val="0"/>
        <cfvo type="num" val="0" gte="0"/>
        <cfvo type="num" val="0" gte="0"/>
      </iconSet>
    </cfRule>
  </conditionalFormatting>
  <conditionalFormatting sqref="F6">
    <cfRule type="iconSet" priority="131">
      <iconSet iconSet="3Arrows">
        <cfvo type="percent" val="0"/>
        <cfvo type="num" val="0" gte="0"/>
        <cfvo type="num" val="0" gte="0"/>
      </iconSet>
    </cfRule>
  </conditionalFormatting>
  <conditionalFormatting sqref="O4:O6">
    <cfRule type="dataBar" priority="1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{48995CC4-8E4D-4917-862A-76AF9F7CE749}</x14:id>
        </ext>
      </extLst>
    </cfRule>
  </conditionalFormatting>
  <conditionalFormatting sqref="O4">
    <cfRule type="iconSet" priority="117">
      <iconSet iconSet="3Arrows">
        <cfvo type="percent" val="0"/>
        <cfvo type="num" val="0" gte="0"/>
        <cfvo type="num" val="0" gte="0"/>
      </iconSet>
    </cfRule>
  </conditionalFormatting>
  <conditionalFormatting sqref="O5">
    <cfRule type="iconSet" priority="116">
      <iconSet iconSet="3Arrows">
        <cfvo type="percent" val="0"/>
        <cfvo type="num" val="0" gte="0"/>
        <cfvo type="num" val="0" gte="0"/>
      </iconSet>
    </cfRule>
  </conditionalFormatting>
  <conditionalFormatting sqref="O6">
    <cfRule type="iconSet" priority="115">
      <iconSet iconSet="3Arrows">
        <cfvo type="percent" val="0"/>
        <cfvo type="num" val="0" gte="0"/>
        <cfvo type="num" val="0" gte="0"/>
      </iconSet>
    </cfRule>
  </conditionalFormatting>
  <conditionalFormatting sqref="N4:N6">
    <cfRule type="dataBar" priority="1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{22D31C01-903C-4015-A92C-B4E9C78BBBEA}</x14:id>
        </ext>
      </extLst>
    </cfRule>
  </conditionalFormatting>
  <conditionalFormatting sqref="N4">
    <cfRule type="iconSet" priority="113">
      <iconSet iconSet="3Arrows">
        <cfvo type="percent" val="0"/>
        <cfvo type="num" val="0" gte="0"/>
        <cfvo type="num" val="0" gte="0"/>
      </iconSet>
    </cfRule>
  </conditionalFormatting>
  <conditionalFormatting sqref="N5">
    <cfRule type="iconSet" priority="112">
      <iconSet iconSet="3Arrows">
        <cfvo type="percent" val="0"/>
        <cfvo type="num" val="0" gte="0"/>
        <cfvo type="num" val="0" gte="0"/>
      </iconSet>
    </cfRule>
  </conditionalFormatting>
  <conditionalFormatting sqref="N6">
    <cfRule type="iconSet" priority="111">
      <iconSet iconSet="3Arrows">
        <cfvo type="percent" val="0"/>
        <cfvo type="num" val="0" gte="0"/>
        <cfvo type="num" val="0" gte="0"/>
      </iconSet>
    </cfRule>
  </conditionalFormatting>
  <conditionalFormatting sqref="W4:W6">
    <cfRule type="dataBar" priority="9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{DE3AEAA9-BCA8-469D-B357-59B920367364}</x14:id>
        </ext>
      </extLst>
    </cfRule>
  </conditionalFormatting>
  <conditionalFormatting sqref="W4">
    <cfRule type="iconSet" priority="97">
      <iconSet iconSet="3Arrows">
        <cfvo type="percent" val="0"/>
        <cfvo type="num" val="0" gte="0"/>
        <cfvo type="num" val="0" gte="0"/>
      </iconSet>
    </cfRule>
  </conditionalFormatting>
  <conditionalFormatting sqref="W5">
    <cfRule type="iconSet" priority="96">
      <iconSet iconSet="3Arrows">
        <cfvo type="percent" val="0"/>
        <cfvo type="num" val="0" gte="0"/>
        <cfvo type="num" val="0" gte="0"/>
      </iconSet>
    </cfRule>
  </conditionalFormatting>
  <conditionalFormatting sqref="W6">
    <cfRule type="iconSet" priority="95">
      <iconSet iconSet="3Arrows">
        <cfvo type="percent" val="0"/>
        <cfvo type="num" val="0" gte="0"/>
        <cfvo type="num" val="0" gte="0"/>
      </iconSet>
    </cfRule>
  </conditionalFormatting>
  <conditionalFormatting sqref="V4:V6">
    <cfRule type="dataBar" priority="9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{00533396-15BF-49BE-A904-AC9CF5E8EBED}</x14:id>
        </ext>
      </extLst>
    </cfRule>
  </conditionalFormatting>
  <conditionalFormatting sqref="V4">
    <cfRule type="iconSet" priority="93">
      <iconSet iconSet="3Arrows">
        <cfvo type="percent" val="0"/>
        <cfvo type="num" val="0" gte="0"/>
        <cfvo type="num" val="0" gte="0"/>
      </iconSet>
    </cfRule>
  </conditionalFormatting>
  <conditionalFormatting sqref="V5">
    <cfRule type="iconSet" priority="92">
      <iconSet iconSet="3Arrows">
        <cfvo type="percent" val="0"/>
        <cfvo type="num" val="0" gte="0"/>
        <cfvo type="num" val="0" gte="0"/>
      </iconSet>
    </cfRule>
  </conditionalFormatting>
  <conditionalFormatting sqref="V6">
    <cfRule type="iconSet" priority="91">
      <iconSet iconSet="3Arrows">
        <cfvo type="percent" val="0"/>
        <cfvo type="num" val="0" gte="0"/>
        <cfvo type="num" val="0" gte="0"/>
      </iconSet>
    </cfRule>
  </conditionalFormatting>
  <conditionalFormatting sqref="AE4:AE6">
    <cfRule type="dataBar" priority="7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{3E948382-2428-4F7A-8004-3AD4E685D4A0}</x14:id>
        </ext>
      </extLst>
    </cfRule>
  </conditionalFormatting>
  <conditionalFormatting sqref="AE4">
    <cfRule type="iconSet" priority="77">
      <iconSet iconSet="3Arrows">
        <cfvo type="percent" val="0"/>
        <cfvo type="num" val="0" gte="0"/>
        <cfvo type="num" val="0" gte="0"/>
      </iconSet>
    </cfRule>
  </conditionalFormatting>
  <conditionalFormatting sqref="AE5">
    <cfRule type="iconSet" priority="76">
      <iconSet iconSet="3Arrows">
        <cfvo type="percent" val="0"/>
        <cfvo type="num" val="0" gte="0"/>
        <cfvo type="num" val="0" gte="0"/>
      </iconSet>
    </cfRule>
  </conditionalFormatting>
  <conditionalFormatting sqref="AE6">
    <cfRule type="iconSet" priority="75">
      <iconSet iconSet="3Arrows">
        <cfvo type="percent" val="0"/>
        <cfvo type="num" val="0" gte="0"/>
        <cfvo type="num" val="0" gte="0"/>
      </iconSet>
    </cfRule>
  </conditionalFormatting>
  <conditionalFormatting sqref="AD4:AD6">
    <cfRule type="dataBar" priority="7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{38AE6BA9-406A-4784-ABDF-3240FEBCB98D}</x14:id>
        </ext>
      </extLst>
    </cfRule>
  </conditionalFormatting>
  <conditionalFormatting sqref="AD4">
    <cfRule type="iconSet" priority="73">
      <iconSet iconSet="3Arrows">
        <cfvo type="percent" val="0"/>
        <cfvo type="num" val="0" gte="0"/>
        <cfvo type="num" val="0" gte="0"/>
      </iconSet>
    </cfRule>
  </conditionalFormatting>
  <conditionalFormatting sqref="AD5">
    <cfRule type="iconSet" priority="72">
      <iconSet iconSet="3Arrows">
        <cfvo type="percent" val="0"/>
        <cfvo type="num" val="0" gte="0"/>
        <cfvo type="num" val="0" gte="0"/>
      </iconSet>
    </cfRule>
  </conditionalFormatting>
  <conditionalFormatting sqref="AD6">
    <cfRule type="iconSet" priority="71">
      <iconSet iconSet="3Arrows">
        <cfvo type="percent" val="0"/>
        <cfvo type="num" val="0" gte="0"/>
        <cfvo type="num" val="0" gte="0"/>
      </iconSet>
    </cfRule>
  </conditionalFormatting>
  <conditionalFormatting sqref="AM4:AM6">
    <cfRule type="dataBar" priority="5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{BD177212-930A-4F1B-AEF7-5A82E333B5C1}</x14:id>
        </ext>
      </extLst>
    </cfRule>
  </conditionalFormatting>
  <conditionalFormatting sqref="AM4">
    <cfRule type="iconSet" priority="57">
      <iconSet iconSet="3Arrows">
        <cfvo type="percent" val="0"/>
        <cfvo type="num" val="0" gte="0"/>
        <cfvo type="num" val="0" gte="0"/>
      </iconSet>
    </cfRule>
  </conditionalFormatting>
  <conditionalFormatting sqref="AM5">
    <cfRule type="iconSet" priority="56">
      <iconSet iconSet="3Arrows">
        <cfvo type="percent" val="0"/>
        <cfvo type="num" val="0" gte="0"/>
        <cfvo type="num" val="0" gte="0"/>
      </iconSet>
    </cfRule>
  </conditionalFormatting>
  <conditionalFormatting sqref="AM6">
    <cfRule type="iconSet" priority="55">
      <iconSet iconSet="3Arrows">
        <cfvo type="percent" val="0"/>
        <cfvo type="num" val="0" gte="0"/>
        <cfvo type="num" val="0" gte="0"/>
      </iconSet>
    </cfRule>
  </conditionalFormatting>
  <conditionalFormatting sqref="AL4:AL6">
    <cfRule type="dataBar" priority="5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{CB3648EF-BF3F-404F-B3FA-C88494739C55}</x14:id>
        </ext>
      </extLst>
    </cfRule>
  </conditionalFormatting>
  <conditionalFormatting sqref="AL4">
    <cfRule type="iconSet" priority="53">
      <iconSet iconSet="3Arrows">
        <cfvo type="percent" val="0"/>
        <cfvo type="num" val="0" gte="0"/>
        <cfvo type="num" val="0" gte="0"/>
      </iconSet>
    </cfRule>
  </conditionalFormatting>
  <conditionalFormatting sqref="AL5">
    <cfRule type="iconSet" priority="52">
      <iconSet iconSet="3Arrows">
        <cfvo type="percent" val="0"/>
        <cfvo type="num" val="0" gte="0"/>
        <cfvo type="num" val="0" gte="0"/>
      </iconSet>
    </cfRule>
  </conditionalFormatting>
  <conditionalFormatting sqref="AL6">
    <cfRule type="iconSet" priority="51">
      <iconSet iconSet="3Arrows">
        <cfvo type="percent" val="0"/>
        <cfvo type="num" val="0" gte="0"/>
        <cfvo type="num" val="0" gte="0"/>
      </iconSet>
    </cfRule>
  </conditionalFormatting>
  <conditionalFormatting sqref="F7">
    <cfRule type="dataBar" priority="38">
      <dataBar>
        <cfvo type="min"/>
        <cfvo type="max"/>
        <color rgb="FFF86308"/>
      </dataBar>
      <extLst>
        <ext xmlns:x14="http://schemas.microsoft.com/office/spreadsheetml/2009/9/main" uri="{B025F937-C7B1-47D3-B67F-A62EFF666E3E}">
          <x14:id>{18FA2FD7-439A-4ADC-8162-2D094118C16C}</x14:id>
        </ext>
      </extLst>
    </cfRule>
  </conditionalFormatting>
  <conditionalFormatting sqref="G7">
    <cfRule type="dataBar" priority="37">
      <dataBar>
        <cfvo type="min"/>
        <cfvo type="max"/>
        <color rgb="FFF86308"/>
      </dataBar>
      <extLst>
        <ext xmlns:x14="http://schemas.microsoft.com/office/spreadsheetml/2009/9/main" uri="{B025F937-C7B1-47D3-B67F-A62EFF666E3E}">
          <x14:id>{9CCEE29D-0DFA-42D3-8021-7F691213A1E0}</x14:id>
        </ext>
      </extLst>
    </cfRule>
  </conditionalFormatting>
  <conditionalFormatting sqref="F9">
    <cfRule type="dataBar" priority="36">
      <dataBar>
        <cfvo type="min"/>
        <cfvo type="max"/>
        <color rgb="FFF86308"/>
      </dataBar>
      <extLst>
        <ext xmlns:x14="http://schemas.microsoft.com/office/spreadsheetml/2009/9/main" uri="{B025F937-C7B1-47D3-B67F-A62EFF666E3E}">
          <x14:id>{B3948742-F878-4E6C-93CE-16A4053C739B}</x14:id>
        </ext>
      </extLst>
    </cfRule>
  </conditionalFormatting>
  <conditionalFormatting sqref="G9">
    <cfRule type="dataBar" priority="35">
      <dataBar>
        <cfvo type="min"/>
        <cfvo type="max"/>
        <color rgb="FFF86308"/>
      </dataBar>
      <extLst>
        <ext xmlns:x14="http://schemas.microsoft.com/office/spreadsheetml/2009/9/main" uri="{B025F937-C7B1-47D3-B67F-A62EFF666E3E}">
          <x14:id>{CB98A811-B13B-4790-8E52-6606F7C1D401}</x14:id>
        </ext>
      </extLst>
    </cfRule>
  </conditionalFormatting>
  <conditionalFormatting sqref="N9">
    <cfRule type="dataBar" priority="32">
      <dataBar>
        <cfvo type="min"/>
        <cfvo type="max"/>
        <color rgb="FFF86308"/>
      </dataBar>
      <extLst>
        <ext xmlns:x14="http://schemas.microsoft.com/office/spreadsheetml/2009/9/main" uri="{B025F937-C7B1-47D3-B67F-A62EFF666E3E}">
          <x14:id>{0AD55EB0-BE0F-442D-8D02-BB07E56B3690}</x14:id>
        </ext>
      </extLst>
    </cfRule>
  </conditionalFormatting>
  <conditionalFormatting sqref="O9">
    <cfRule type="dataBar" priority="31">
      <dataBar>
        <cfvo type="min"/>
        <cfvo type="max"/>
        <color rgb="FFF86308"/>
      </dataBar>
      <extLst>
        <ext xmlns:x14="http://schemas.microsoft.com/office/spreadsheetml/2009/9/main" uri="{B025F937-C7B1-47D3-B67F-A62EFF666E3E}">
          <x14:id>{088DCAB0-CA96-45EB-B19E-9190D2036E0A}</x14:id>
        </ext>
      </extLst>
    </cfRule>
  </conditionalFormatting>
  <conditionalFormatting sqref="V9">
    <cfRule type="dataBar" priority="28">
      <dataBar>
        <cfvo type="min"/>
        <cfvo type="max"/>
        <color rgb="FFF86308"/>
      </dataBar>
      <extLst>
        <ext xmlns:x14="http://schemas.microsoft.com/office/spreadsheetml/2009/9/main" uri="{B025F937-C7B1-47D3-B67F-A62EFF666E3E}">
          <x14:id>{891BB06A-D45B-42B5-984F-4146115BF5B0}</x14:id>
        </ext>
      </extLst>
    </cfRule>
  </conditionalFormatting>
  <conditionalFormatting sqref="W9">
    <cfRule type="dataBar" priority="27">
      <dataBar>
        <cfvo type="min"/>
        <cfvo type="max"/>
        <color rgb="FFF86308"/>
      </dataBar>
      <extLst>
        <ext xmlns:x14="http://schemas.microsoft.com/office/spreadsheetml/2009/9/main" uri="{B025F937-C7B1-47D3-B67F-A62EFF666E3E}">
          <x14:id>{33B52791-593E-428E-918E-D882EF02FC80}</x14:id>
        </ext>
      </extLst>
    </cfRule>
  </conditionalFormatting>
  <conditionalFormatting sqref="AD9">
    <cfRule type="dataBar" priority="24">
      <dataBar>
        <cfvo type="min"/>
        <cfvo type="max"/>
        <color rgb="FFF86308"/>
      </dataBar>
      <extLst>
        <ext xmlns:x14="http://schemas.microsoft.com/office/spreadsheetml/2009/9/main" uri="{B025F937-C7B1-47D3-B67F-A62EFF666E3E}">
          <x14:id>{004D0217-CA85-4CE9-B562-51596A46E6DB}</x14:id>
        </ext>
      </extLst>
    </cfRule>
  </conditionalFormatting>
  <conditionalFormatting sqref="AE9">
    <cfRule type="dataBar" priority="23">
      <dataBar>
        <cfvo type="min"/>
        <cfvo type="max"/>
        <color rgb="FFF86308"/>
      </dataBar>
      <extLst>
        <ext xmlns:x14="http://schemas.microsoft.com/office/spreadsheetml/2009/9/main" uri="{B025F937-C7B1-47D3-B67F-A62EFF666E3E}">
          <x14:id>{5C42FD1D-7F92-4653-8F92-09DCB7DB5108}</x14:id>
        </ext>
      </extLst>
    </cfRule>
  </conditionalFormatting>
  <conditionalFormatting sqref="AL9">
    <cfRule type="dataBar" priority="20">
      <dataBar>
        <cfvo type="min"/>
        <cfvo type="max"/>
        <color rgb="FFF86308"/>
      </dataBar>
      <extLst>
        <ext xmlns:x14="http://schemas.microsoft.com/office/spreadsheetml/2009/9/main" uri="{B025F937-C7B1-47D3-B67F-A62EFF666E3E}">
          <x14:id>{14CA0E10-4E08-4740-80DF-84105DFE1265}</x14:id>
        </ext>
      </extLst>
    </cfRule>
  </conditionalFormatting>
  <conditionalFormatting sqref="AM9">
    <cfRule type="dataBar" priority="19">
      <dataBar>
        <cfvo type="min"/>
        <cfvo type="max"/>
        <color rgb="FFF86308"/>
      </dataBar>
      <extLst>
        <ext xmlns:x14="http://schemas.microsoft.com/office/spreadsheetml/2009/9/main" uri="{B025F937-C7B1-47D3-B67F-A62EFF666E3E}">
          <x14:id>{DB33CC7D-7945-4CC3-BD65-9B9D015554A8}</x14:id>
        </ext>
      </extLst>
    </cfRule>
  </conditionalFormatting>
  <conditionalFormatting sqref="F8">
    <cfRule type="dataBar" priority="18">
      <dataBar>
        <cfvo type="min"/>
        <cfvo type="max"/>
        <color rgb="FFF86308"/>
      </dataBar>
      <extLst>
        <ext xmlns:x14="http://schemas.microsoft.com/office/spreadsheetml/2009/9/main" uri="{B025F937-C7B1-47D3-B67F-A62EFF666E3E}">
          <x14:id>{CF4C09B0-2F4F-413B-8EB2-E9F3BEF5B025}</x14:id>
        </ext>
      </extLst>
    </cfRule>
  </conditionalFormatting>
  <conditionalFormatting sqref="G8">
    <cfRule type="dataBar" priority="17">
      <dataBar>
        <cfvo type="min"/>
        <cfvo type="max"/>
        <color rgb="FFF86308"/>
      </dataBar>
      <extLst>
        <ext xmlns:x14="http://schemas.microsoft.com/office/spreadsheetml/2009/9/main" uri="{B025F937-C7B1-47D3-B67F-A62EFF666E3E}">
          <x14:id>{3F1C5311-89C2-45F2-AB67-EBFC306FFCF8}</x14:id>
        </ext>
      </extLst>
    </cfRule>
  </conditionalFormatting>
  <conditionalFormatting sqref="N7">
    <cfRule type="dataBar" priority="16">
      <dataBar>
        <cfvo type="min"/>
        <cfvo type="max"/>
        <color rgb="FFF86308"/>
      </dataBar>
      <extLst>
        <ext xmlns:x14="http://schemas.microsoft.com/office/spreadsheetml/2009/9/main" uri="{B025F937-C7B1-47D3-B67F-A62EFF666E3E}">
          <x14:id>{12E8ECE6-24F3-4427-B36A-CE9A6A3C4491}</x14:id>
        </ext>
      </extLst>
    </cfRule>
  </conditionalFormatting>
  <conditionalFormatting sqref="O7">
    <cfRule type="dataBar" priority="15">
      <dataBar>
        <cfvo type="min"/>
        <cfvo type="max"/>
        <color rgb="FFF86308"/>
      </dataBar>
      <extLst>
        <ext xmlns:x14="http://schemas.microsoft.com/office/spreadsheetml/2009/9/main" uri="{B025F937-C7B1-47D3-B67F-A62EFF666E3E}">
          <x14:id>{77669CE5-F57F-4053-A67A-5209E974A1F4}</x14:id>
        </ext>
      </extLst>
    </cfRule>
  </conditionalFormatting>
  <conditionalFormatting sqref="N8">
    <cfRule type="dataBar" priority="14">
      <dataBar>
        <cfvo type="min"/>
        <cfvo type="max"/>
        <color rgb="FFF86308"/>
      </dataBar>
      <extLst>
        <ext xmlns:x14="http://schemas.microsoft.com/office/spreadsheetml/2009/9/main" uri="{B025F937-C7B1-47D3-B67F-A62EFF666E3E}">
          <x14:id>{3CE63D08-5176-4B4C-B34E-637383D13DFB}</x14:id>
        </ext>
      </extLst>
    </cfRule>
  </conditionalFormatting>
  <conditionalFormatting sqref="O8">
    <cfRule type="dataBar" priority="13">
      <dataBar>
        <cfvo type="min"/>
        <cfvo type="max"/>
        <color rgb="FFF86308"/>
      </dataBar>
      <extLst>
        <ext xmlns:x14="http://schemas.microsoft.com/office/spreadsheetml/2009/9/main" uri="{B025F937-C7B1-47D3-B67F-A62EFF666E3E}">
          <x14:id>{30A087FD-42D2-456B-8EEB-FD9827F8936E}</x14:id>
        </ext>
      </extLst>
    </cfRule>
  </conditionalFormatting>
  <conditionalFormatting sqref="V7">
    <cfRule type="dataBar" priority="12">
      <dataBar>
        <cfvo type="min"/>
        <cfvo type="max"/>
        <color rgb="FFF86308"/>
      </dataBar>
      <extLst>
        <ext xmlns:x14="http://schemas.microsoft.com/office/spreadsheetml/2009/9/main" uri="{B025F937-C7B1-47D3-B67F-A62EFF666E3E}">
          <x14:id>{46521631-B50D-409C-8779-C1CB3925DC86}</x14:id>
        </ext>
      </extLst>
    </cfRule>
  </conditionalFormatting>
  <conditionalFormatting sqref="W7">
    <cfRule type="dataBar" priority="11">
      <dataBar>
        <cfvo type="min"/>
        <cfvo type="max"/>
        <color rgb="FFF86308"/>
      </dataBar>
      <extLst>
        <ext xmlns:x14="http://schemas.microsoft.com/office/spreadsheetml/2009/9/main" uri="{B025F937-C7B1-47D3-B67F-A62EFF666E3E}">
          <x14:id>{E38D4571-0E47-45D4-812E-4DF293ECE117}</x14:id>
        </ext>
      </extLst>
    </cfRule>
  </conditionalFormatting>
  <conditionalFormatting sqref="V8">
    <cfRule type="dataBar" priority="10">
      <dataBar>
        <cfvo type="min"/>
        <cfvo type="max"/>
        <color rgb="FFF86308"/>
      </dataBar>
      <extLst>
        <ext xmlns:x14="http://schemas.microsoft.com/office/spreadsheetml/2009/9/main" uri="{B025F937-C7B1-47D3-B67F-A62EFF666E3E}">
          <x14:id>{C6132020-ADD4-4E31-91D4-49D8C72607CE}</x14:id>
        </ext>
      </extLst>
    </cfRule>
  </conditionalFormatting>
  <conditionalFormatting sqref="W8">
    <cfRule type="dataBar" priority="9">
      <dataBar>
        <cfvo type="min"/>
        <cfvo type="max"/>
        <color rgb="FFF86308"/>
      </dataBar>
      <extLst>
        <ext xmlns:x14="http://schemas.microsoft.com/office/spreadsheetml/2009/9/main" uri="{B025F937-C7B1-47D3-B67F-A62EFF666E3E}">
          <x14:id>{B79E99FF-AD60-4163-9453-FEEBDF3C8E06}</x14:id>
        </ext>
      </extLst>
    </cfRule>
  </conditionalFormatting>
  <conditionalFormatting sqref="AD7">
    <cfRule type="dataBar" priority="8">
      <dataBar>
        <cfvo type="min"/>
        <cfvo type="max"/>
        <color rgb="FFF86308"/>
      </dataBar>
      <extLst>
        <ext xmlns:x14="http://schemas.microsoft.com/office/spreadsheetml/2009/9/main" uri="{B025F937-C7B1-47D3-B67F-A62EFF666E3E}">
          <x14:id>{0EA74DCC-E760-4DEC-A48C-0709DAC792F9}</x14:id>
        </ext>
      </extLst>
    </cfRule>
  </conditionalFormatting>
  <conditionalFormatting sqref="AE7">
    <cfRule type="dataBar" priority="7">
      <dataBar>
        <cfvo type="min"/>
        <cfvo type="max"/>
        <color rgb="FFF86308"/>
      </dataBar>
      <extLst>
        <ext xmlns:x14="http://schemas.microsoft.com/office/spreadsheetml/2009/9/main" uri="{B025F937-C7B1-47D3-B67F-A62EFF666E3E}">
          <x14:id>{4246E25B-D868-4B8F-B79C-E6824B5D95F4}</x14:id>
        </ext>
      </extLst>
    </cfRule>
  </conditionalFormatting>
  <conditionalFormatting sqref="AD8">
    <cfRule type="dataBar" priority="6">
      <dataBar>
        <cfvo type="min"/>
        <cfvo type="max"/>
        <color rgb="FFF86308"/>
      </dataBar>
      <extLst>
        <ext xmlns:x14="http://schemas.microsoft.com/office/spreadsheetml/2009/9/main" uri="{B025F937-C7B1-47D3-B67F-A62EFF666E3E}">
          <x14:id>{397F3920-13DC-4C5C-BECB-A4917E4D5BA0}</x14:id>
        </ext>
      </extLst>
    </cfRule>
  </conditionalFormatting>
  <conditionalFormatting sqref="AE8">
    <cfRule type="dataBar" priority="5">
      <dataBar>
        <cfvo type="min"/>
        <cfvo type="max"/>
        <color rgb="FFF86308"/>
      </dataBar>
      <extLst>
        <ext xmlns:x14="http://schemas.microsoft.com/office/spreadsheetml/2009/9/main" uri="{B025F937-C7B1-47D3-B67F-A62EFF666E3E}">
          <x14:id>{16364498-C31C-4FB5-BCAB-A5C56EC1C43D}</x14:id>
        </ext>
      </extLst>
    </cfRule>
  </conditionalFormatting>
  <conditionalFormatting sqref="AL7">
    <cfRule type="dataBar" priority="4">
      <dataBar>
        <cfvo type="min"/>
        <cfvo type="max"/>
        <color rgb="FFF86308"/>
      </dataBar>
      <extLst>
        <ext xmlns:x14="http://schemas.microsoft.com/office/spreadsheetml/2009/9/main" uri="{B025F937-C7B1-47D3-B67F-A62EFF666E3E}">
          <x14:id>{6BF1E45F-F5F2-4781-A420-3DD86AA57D85}</x14:id>
        </ext>
      </extLst>
    </cfRule>
  </conditionalFormatting>
  <conditionalFormatting sqref="AM7">
    <cfRule type="dataBar" priority="3">
      <dataBar>
        <cfvo type="min"/>
        <cfvo type="max"/>
        <color rgb="FFF86308"/>
      </dataBar>
      <extLst>
        <ext xmlns:x14="http://schemas.microsoft.com/office/spreadsheetml/2009/9/main" uri="{B025F937-C7B1-47D3-B67F-A62EFF666E3E}">
          <x14:id>{E11D04BF-609F-4730-A041-DD29F41A2DAE}</x14:id>
        </ext>
      </extLst>
    </cfRule>
  </conditionalFormatting>
  <conditionalFormatting sqref="AL8">
    <cfRule type="dataBar" priority="2">
      <dataBar>
        <cfvo type="min"/>
        <cfvo type="max"/>
        <color rgb="FFF86308"/>
      </dataBar>
      <extLst>
        <ext xmlns:x14="http://schemas.microsoft.com/office/spreadsheetml/2009/9/main" uri="{B025F937-C7B1-47D3-B67F-A62EFF666E3E}">
          <x14:id>{95AF910A-4138-420C-8B41-EDF924F79C41}</x14:id>
        </ext>
      </extLst>
    </cfRule>
  </conditionalFormatting>
  <conditionalFormatting sqref="AM8">
    <cfRule type="dataBar" priority="1">
      <dataBar>
        <cfvo type="min"/>
        <cfvo type="max"/>
        <color rgb="FFF86308"/>
      </dataBar>
      <extLst>
        <ext xmlns:x14="http://schemas.microsoft.com/office/spreadsheetml/2009/9/main" uri="{B025F937-C7B1-47D3-B67F-A62EFF666E3E}">
          <x14:id>{FD2293F2-B7D0-4660-9921-3500A2DE5EFC}</x14:id>
        </ext>
      </extLst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BA6C1B9-31FE-4E69-B357-9E4561F001D4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G4:G6</xm:sqref>
        </x14:conditionalFormatting>
        <x14:conditionalFormatting xmlns:xm="http://schemas.microsoft.com/office/excel/2006/main">
          <x14:cfRule type="dataBar" id="{CED59BF0-ED04-4B7F-94C3-1A8F29DEF1CF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F4:F6</xm:sqref>
        </x14:conditionalFormatting>
        <x14:conditionalFormatting xmlns:xm="http://schemas.microsoft.com/office/excel/2006/main">
          <x14:cfRule type="dataBar" id="{48995CC4-8E4D-4917-862A-76AF9F7CE749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O4:O6</xm:sqref>
        </x14:conditionalFormatting>
        <x14:conditionalFormatting xmlns:xm="http://schemas.microsoft.com/office/excel/2006/main">
          <x14:cfRule type="dataBar" id="{22D31C01-903C-4015-A92C-B4E9C78BBBEA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N4:N6</xm:sqref>
        </x14:conditionalFormatting>
        <x14:conditionalFormatting xmlns:xm="http://schemas.microsoft.com/office/excel/2006/main">
          <x14:cfRule type="dataBar" id="{DE3AEAA9-BCA8-469D-B357-59B920367364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W4:W6</xm:sqref>
        </x14:conditionalFormatting>
        <x14:conditionalFormatting xmlns:xm="http://schemas.microsoft.com/office/excel/2006/main">
          <x14:cfRule type="dataBar" id="{00533396-15BF-49BE-A904-AC9CF5E8EBED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V4:V6</xm:sqref>
        </x14:conditionalFormatting>
        <x14:conditionalFormatting xmlns:xm="http://schemas.microsoft.com/office/excel/2006/main">
          <x14:cfRule type="dataBar" id="{3E948382-2428-4F7A-8004-3AD4E685D4A0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AE4:AE6</xm:sqref>
        </x14:conditionalFormatting>
        <x14:conditionalFormatting xmlns:xm="http://schemas.microsoft.com/office/excel/2006/main">
          <x14:cfRule type="dataBar" id="{38AE6BA9-406A-4784-ABDF-3240FEBCB98D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AD4:AD6</xm:sqref>
        </x14:conditionalFormatting>
        <x14:conditionalFormatting xmlns:xm="http://schemas.microsoft.com/office/excel/2006/main">
          <x14:cfRule type="dataBar" id="{BD177212-930A-4F1B-AEF7-5A82E333B5C1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AM4:AM6</xm:sqref>
        </x14:conditionalFormatting>
        <x14:conditionalFormatting xmlns:xm="http://schemas.microsoft.com/office/excel/2006/main">
          <x14:cfRule type="dataBar" id="{CB3648EF-BF3F-404F-B3FA-C88494739C55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AL4:AL6</xm:sqref>
        </x14:conditionalFormatting>
        <x14:conditionalFormatting xmlns:xm="http://schemas.microsoft.com/office/excel/2006/main">
          <x14:cfRule type="dataBar" id="{18FA2FD7-439A-4ADC-8162-2D094118C16C}">
            <x14:dataBar minLength="0" maxLength="100" gradient="0">
              <x14:cfvo type="autoMin"/>
              <x14:cfvo type="autoMax"/>
              <x14:negativeFillColor theme="9" tint="0.59999389629810485"/>
              <x14:axisColor rgb="FF000000"/>
            </x14:dataBar>
          </x14:cfRule>
          <xm:sqref>F7</xm:sqref>
        </x14:conditionalFormatting>
        <x14:conditionalFormatting xmlns:xm="http://schemas.microsoft.com/office/excel/2006/main">
          <x14:cfRule type="dataBar" id="{9CCEE29D-0DFA-42D3-8021-7F691213A1E0}">
            <x14:dataBar minLength="0" maxLength="100" gradient="0">
              <x14:cfvo type="autoMin"/>
              <x14:cfvo type="autoMax"/>
              <x14:negativeFillColor theme="9" tint="0.59999389629810485"/>
              <x14:axisColor rgb="FF000000"/>
            </x14:dataBar>
          </x14:cfRule>
          <xm:sqref>G7</xm:sqref>
        </x14:conditionalFormatting>
        <x14:conditionalFormatting xmlns:xm="http://schemas.microsoft.com/office/excel/2006/main">
          <x14:cfRule type="dataBar" id="{B3948742-F878-4E6C-93CE-16A4053C739B}">
            <x14:dataBar minLength="0" maxLength="100" gradient="0">
              <x14:cfvo type="autoMin"/>
              <x14:cfvo type="autoMax"/>
              <x14:negativeFillColor theme="9" tint="0.59999389629810485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CB98A811-B13B-4790-8E52-6606F7C1D401}">
            <x14:dataBar minLength="0" maxLength="100" gradient="0">
              <x14:cfvo type="autoMin"/>
              <x14:cfvo type="autoMax"/>
              <x14:negativeFillColor theme="9" tint="0.59999389629810485"/>
              <x14:axisColor rgb="FF000000"/>
            </x14:dataBar>
          </x14:cfRule>
          <xm:sqref>G9</xm:sqref>
        </x14:conditionalFormatting>
        <x14:conditionalFormatting xmlns:xm="http://schemas.microsoft.com/office/excel/2006/main">
          <x14:cfRule type="dataBar" id="{0AD55EB0-BE0F-442D-8D02-BB07E56B3690}">
            <x14:dataBar minLength="0" maxLength="100" gradient="0">
              <x14:cfvo type="autoMin"/>
              <x14:cfvo type="autoMax"/>
              <x14:negativeFillColor theme="9" tint="0.59999389629810485"/>
              <x14:axisColor rgb="FF000000"/>
            </x14:dataBar>
          </x14:cfRule>
          <xm:sqref>N9</xm:sqref>
        </x14:conditionalFormatting>
        <x14:conditionalFormatting xmlns:xm="http://schemas.microsoft.com/office/excel/2006/main">
          <x14:cfRule type="dataBar" id="{088DCAB0-CA96-45EB-B19E-9190D2036E0A}">
            <x14:dataBar minLength="0" maxLength="100" gradient="0">
              <x14:cfvo type="autoMin"/>
              <x14:cfvo type="autoMax"/>
              <x14:negativeFillColor theme="9" tint="0.59999389629810485"/>
              <x14:axisColor rgb="FF000000"/>
            </x14:dataBar>
          </x14:cfRule>
          <xm:sqref>O9</xm:sqref>
        </x14:conditionalFormatting>
        <x14:conditionalFormatting xmlns:xm="http://schemas.microsoft.com/office/excel/2006/main">
          <x14:cfRule type="dataBar" id="{891BB06A-D45B-42B5-984F-4146115BF5B0}">
            <x14:dataBar minLength="0" maxLength="100" gradient="0">
              <x14:cfvo type="autoMin"/>
              <x14:cfvo type="autoMax"/>
              <x14:negativeFillColor theme="9" tint="0.59999389629810485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33B52791-593E-428E-918E-D882EF02FC80}">
            <x14:dataBar minLength="0" maxLength="100" gradient="0">
              <x14:cfvo type="autoMin"/>
              <x14:cfvo type="autoMax"/>
              <x14:negativeFillColor theme="9" tint="0.59999389629810485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004D0217-CA85-4CE9-B562-51596A46E6DB}">
            <x14:dataBar minLength="0" maxLength="100" gradient="0">
              <x14:cfvo type="autoMin"/>
              <x14:cfvo type="autoMax"/>
              <x14:negativeFillColor theme="9" tint="0.59999389629810485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5C42FD1D-7F92-4653-8F92-09DCB7DB5108}">
            <x14:dataBar minLength="0" maxLength="100" gradient="0">
              <x14:cfvo type="autoMin"/>
              <x14:cfvo type="autoMax"/>
              <x14:negativeFillColor theme="9" tint="0.59999389629810485"/>
              <x14:axisColor rgb="FF000000"/>
            </x14:dataBar>
          </x14:cfRule>
          <xm:sqref>AE9</xm:sqref>
        </x14:conditionalFormatting>
        <x14:conditionalFormatting xmlns:xm="http://schemas.microsoft.com/office/excel/2006/main">
          <x14:cfRule type="dataBar" id="{14CA0E10-4E08-4740-80DF-84105DFE1265}">
            <x14:dataBar minLength="0" maxLength="100" gradient="0">
              <x14:cfvo type="autoMin"/>
              <x14:cfvo type="autoMax"/>
              <x14:negativeFillColor theme="9" tint="0.59999389629810485"/>
              <x14:axisColor rgb="FF000000"/>
            </x14:dataBar>
          </x14:cfRule>
          <xm:sqref>AL9</xm:sqref>
        </x14:conditionalFormatting>
        <x14:conditionalFormatting xmlns:xm="http://schemas.microsoft.com/office/excel/2006/main">
          <x14:cfRule type="dataBar" id="{DB33CC7D-7945-4CC3-BD65-9B9D015554A8}">
            <x14:dataBar minLength="0" maxLength="100" gradient="0">
              <x14:cfvo type="autoMin"/>
              <x14:cfvo type="autoMax"/>
              <x14:negativeFillColor theme="9" tint="0.59999389629810485"/>
              <x14:axisColor rgb="FF000000"/>
            </x14:dataBar>
          </x14:cfRule>
          <xm:sqref>AM9</xm:sqref>
        </x14:conditionalFormatting>
        <x14:conditionalFormatting xmlns:xm="http://schemas.microsoft.com/office/excel/2006/main">
          <x14:cfRule type="dataBar" id="{CF4C09B0-2F4F-413B-8EB2-E9F3BEF5B025}">
            <x14:dataBar minLength="0" maxLength="100" gradient="0">
              <x14:cfvo type="autoMin"/>
              <x14:cfvo type="autoMax"/>
              <x14:negativeFillColor theme="9" tint="0.59999389629810485"/>
              <x14:axisColor rgb="FF000000"/>
            </x14:dataBar>
          </x14:cfRule>
          <xm:sqref>F8</xm:sqref>
        </x14:conditionalFormatting>
        <x14:conditionalFormatting xmlns:xm="http://schemas.microsoft.com/office/excel/2006/main">
          <x14:cfRule type="dataBar" id="{3F1C5311-89C2-45F2-AB67-EBFC306FFCF8}">
            <x14:dataBar minLength="0" maxLength="100" gradient="0">
              <x14:cfvo type="autoMin"/>
              <x14:cfvo type="autoMax"/>
              <x14:negativeFillColor theme="9" tint="0.59999389629810485"/>
              <x14:axisColor rgb="FF000000"/>
            </x14:dataBar>
          </x14:cfRule>
          <xm:sqref>G8</xm:sqref>
        </x14:conditionalFormatting>
        <x14:conditionalFormatting xmlns:xm="http://schemas.microsoft.com/office/excel/2006/main">
          <x14:cfRule type="dataBar" id="{12E8ECE6-24F3-4427-B36A-CE9A6A3C4491}">
            <x14:dataBar minLength="0" maxLength="100" gradient="0">
              <x14:cfvo type="autoMin"/>
              <x14:cfvo type="autoMax"/>
              <x14:negativeFillColor theme="9" tint="0.59999389629810485"/>
              <x14:axisColor rgb="FF000000"/>
            </x14:dataBar>
          </x14:cfRule>
          <xm:sqref>N7</xm:sqref>
        </x14:conditionalFormatting>
        <x14:conditionalFormatting xmlns:xm="http://schemas.microsoft.com/office/excel/2006/main">
          <x14:cfRule type="dataBar" id="{77669CE5-F57F-4053-A67A-5209E974A1F4}">
            <x14:dataBar minLength="0" maxLength="100" gradient="0">
              <x14:cfvo type="autoMin"/>
              <x14:cfvo type="autoMax"/>
              <x14:negativeFillColor theme="9" tint="0.59999389629810485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E63D08-5176-4B4C-B34E-637383D13DFB}">
            <x14:dataBar minLength="0" maxLength="100" gradient="0">
              <x14:cfvo type="autoMin"/>
              <x14:cfvo type="autoMax"/>
              <x14:negativeFillColor theme="9" tint="0.59999389629810485"/>
              <x14:axisColor rgb="FF000000"/>
            </x14:dataBar>
          </x14:cfRule>
          <xm:sqref>N8</xm:sqref>
        </x14:conditionalFormatting>
        <x14:conditionalFormatting xmlns:xm="http://schemas.microsoft.com/office/excel/2006/main">
          <x14:cfRule type="dataBar" id="{30A087FD-42D2-456B-8EEB-FD9827F8936E}">
            <x14:dataBar minLength="0" maxLength="100" gradient="0">
              <x14:cfvo type="autoMin"/>
              <x14:cfvo type="autoMax"/>
              <x14:negativeFillColor theme="9" tint="0.59999389629810485"/>
              <x14:axisColor rgb="FF000000"/>
            </x14:dataBar>
          </x14:cfRule>
          <xm:sqref>O8</xm:sqref>
        </x14:conditionalFormatting>
        <x14:conditionalFormatting xmlns:xm="http://schemas.microsoft.com/office/excel/2006/main">
          <x14:cfRule type="dataBar" id="{46521631-B50D-409C-8779-C1CB3925DC86}">
            <x14:dataBar minLength="0" maxLength="100" gradient="0">
              <x14:cfvo type="autoMin"/>
              <x14:cfvo type="autoMax"/>
              <x14:negativeFillColor theme="9" tint="0.59999389629810485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E38D4571-0E47-45D4-812E-4DF293ECE117}">
            <x14:dataBar minLength="0" maxLength="100" gradient="0">
              <x14:cfvo type="autoMin"/>
              <x14:cfvo type="autoMax"/>
              <x14:negativeFillColor theme="9" tint="0.59999389629810485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C6132020-ADD4-4E31-91D4-49D8C72607CE}">
            <x14:dataBar minLength="0" maxLength="100" gradient="0">
              <x14:cfvo type="autoMin"/>
              <x14:cfvo type="autoMax"/>
              <x14:negativeFillColor theme="9" tint="0.59999389629810485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B79E99FF-AD60-4163-9453-FEEBDF3C8E06}">
            <x14:dataBar minLength="0" maxLength="100" gradient="0">
              <x14:cfvo type="autoMin"/>
              <x14:cfvo type="autoMax"/>
              <x14:negativeFillColor theme="9" tint="0.59999389629810485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0EA74DCC-E760-4DEC-A48C-0709DAC792F9}">
            <x14:dataBar minLength="0" maxLength="100" gradient="0">
              <x14:cfvo type="autoMin"/>
              <x14:cfvo type="autoMax"/>
              <x14:negativeFillColor theme="9" tint="0.59999389629810485"/>
              <x14:axisColor rgb="FF000000"/>
            </x14:dataBar>
          </x14:cfRule>
          <xm:sqref>AD7</xm:sqref>
        </x14:conditionalFormatting>
        <x14:conditionalFormatting xmlns:xm="http://schemas.microsoft.com/office/excel/2006/main">
          <x14:cfRule type="dataBar" id="{4246E25B-D868-4B8F-B79C-E6824B5D95F4}">
            <x14:dataBar minLength="0" maxLength="100" gradient="0">
              <x14:cfvo type="autoMin"/>
              <x14:cfvo type="autoMax"/>
              <x14:negativeFillColor theme="9" tint="0.59999389629810485"/>
              <x14:axisColor rgb="FF000000"/>
            </x14:dataBar>
          </x14:cfRule>
          <xm:sqref>AE7</xm:sqref>
        </x14:conditionalFormatting>
        <x14:conditionalFormatting xmlns:xm="http://schemas.microsoft.com/office/excel/2006/main">
          <x14:cfRule type="dataBar" id="{397F3920-13DC-4C5C-BECB-A4917E4D5BA0}">
            <x14:dataBar minLength="0" maxLength="100" gradient="0">
              <x14:cfvo type="autoMin"/>
              <x14:cfvo type="autoMax"/>
              <x14:negativeFillColor theme="9" tint="0.59999389629810485"/>
              <x14:axisColor rgb="FF000000"/>
            </x14:dataBar>
          </x14:cfRule>
          <xm:sqref>AD8</xm:sqref>
        </x14:conditionalFormatting>
        <x14:conditionalFormatting xmlns:xm="http://schemas.microsoft.com/office/excel/2006/main">
          <x14:cfRule type="dataBar" id="{16364498-C31C-4FB5-BCAB-A5C56EC1C43D}">
            <x14:dataBar minLength="0" maxLength="100" gradient="0">
              <x14:cfvo type="autoMin"/>
              <x14:cfvo type="autoMax"/>
              <x14:negativeFillColor theme="9" tint="0.59999389629810485"/>
              <x14:axisColor rgb="FF000000"/>
            </x14:dataBar>
          </x14:cfRule>
          <xm:sqref>AE8</xm:sqref>
        </x14:conditionalFormatting>
        <x14:conditionalFormatting xmlns:xm="http://schemas.microsoft.com/office/excel/2006/main">
          <x14:cfRule type="dataBar" id="{6BF1E45F-F5F2-4781-A420-3DD86AA57D85}">
            <x14:dataBar minLength="0" maxLength="100" gradient="0">
              <x14:cfvo type="autoMin"/>
              <x14:cfvo type="autoMax"/>
              <x14:negativeFillColor theme="9" tint="0.59999389629810485"/>
              <x14:axisColor rgb="FF000000"/>
            </x14:dataBar>
          </x14:cfRule>
          <xm:sqref>AL7</xm:sqref>
        </x14:conditionalFormatting>
        <x14:conditionalFormatting xmlns:xm="http://schemas.microsoft.com/office/excel/2006/main">
          <x14:cfRule type="dataBar" id="{E11D04BF-609F-4730-A041-DD29F41A2DAE}">
            <x14:dataBar minLength="0" maxLength="100" gradient="0">
              <x14:cfvo type="autoMin"/>
              <x14:cfvo type="autoMax"/>
              <x14:negativeFillColor theme="9" tint="0.59999389629810485"/>
              <x14:axisColor rgb="FF000000"/>
            </x14:dataBar>
          </x14:cfRule>
          <xm:sqref>AM7</xm:sqref>
        </x14:conditionalFormatting>
        <x14:conditionalFormatting xmlns:xm="http://schemas.microsoft.com/office/excel/2006/main">
          <x14:cfRule type="dataBar" id="{95AF910A-4138-420C-8B41-EDF924F79C41}">
            <x14:dataBar minLength="0" maxLength="100" gradient="0">
              <x14:cfvo type="autoMin"/>
              <x14:cfvo type="autoMax"/>
              <x14:negativeFillColor theme="9" tint="0.59999389629810485"/>
              <x14:axisColor rgb="FF000000"/>
            </x14:dataBar>
          </x14:cfRule>
          <xm:sqref>AL8</xm:sqref>
        </x14:conditionalFormatting>
        <x14:conditionalFormatting xmlns:xm="http://schemas.microsoft.com/office/excel/2006/main">
          <x14:cfRule type="dataBar" id="{FD2293F2-B7D0-4660-9921-3500A2DE5EFC}">
            <x14:dataBar minLength="0" maxLength="100" gradient="0">
              <x14:cfvo type="autoMin"/>
              <x14:cfvo type="autoMax"/>
              <x14:negativeFillColor theme="9" tint="0.59999389629810485"/>
              <x14:axisColor rgb="FF000000"/>
            </x14:dataBar>
          </x14:cfRule>
          <xm:sqref>AM8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69A52-FF88-4C56-8F7D-23D9CAE4E55E}">
  <sheetPr codeName="Sheet2"/>
  <dimension ref="A1:X11"/>
  <sheetViews>
    <sheetView showGridLines="0" zoomScale="139" zoomScaleNormal="205" workbookViewId="0">
      <selection activeCell="E2" sqref="E2"/>
    </sheetView>
  </sheetViews>
  <sheetFormatPr defaultColWidth="8.77734375" defaultRowHeight="13.8" x14ac:dyDescent="0.25"/>
  <cols>
    <col min="1" max="1" width="3.21875" style="15" bestFit="1" customWidth="1"/>
    <col min="2" max="2" width="10.33203125" style="15" bestFit="1" customWidth="1"/>
    <col min="3" max="3" width="10.44140625" style="15" bestFit="1" customWidth="1"/>
    <col min="4" max="4" width="6.6640625" style="15" bestFit="1" customWidth="1"/>
    <col min="5" max="5" width="0.77734375" style="15" customWidth="1"/>
    <col min="6" max="6" width="3.21875" style="15" bestFit="1" customWidth="1"/>
    <col min="7" max="7" width="10.33203125" style="15" bestFit="1" customWidth="1"/>
    <col min="8" max="8" width="6.6640625" style="15" bestFit="1" customWidth="1"/>
    <col min="9" max="9" width="7.21875" style="15" bestFit="1" customWidth="1"/>
    <col min="10" max="10" width="0.77734375" style="15" customWidth="1"/>
    <col min="11" max="11" width="3.21875" style="15" bestFit="1" customWidth="1"/>
    <col min="12" max="12" width="10.33203125" style="15" bestFit="1" customWidth="1"/>
    <col min="13" max="14" width="6.6640625" style="15" bestFit="1" customWidth="1"/>
    <col min="15" max="15" width="0.77734375" style="15" customWidth="1"/>
    <col min="16" max="16" width="3.21875" style="15" bestFit="1" customWidth="1"/>
    <col min="17" max="17" width="10.33203125" style="15" bestFit="1" customWidth="1"/>
    <col min="18" max="19" width="6.6640625" style="15" bestFit="1" customWidth="1"/>
    <col min="20" max="20" width="0.77734375" style="15" customWidth="1"/>
    <col min="21" max="21" width="3.21875" style="15" bestFit="1" customWidth="1"/>
    <col min="22" max="22" width="10.33203125" style="15" bestFit="1" customWidth="1"/>
    <col min="23" max="23" width="6.6640625" style="15" bestFit="1" customWidth="1"/>
    <col min="24" max="24" width="6.6640625" style="15" customWidth="1"/>
    <col min="25" max="16384" width="8.77734375" style="15"/>
  </cols>
  <sheetData>
    <row r="1" spans="1:24" x14ac:dyDescent="0.25">
      <c r="A1" s="134" t="s">
        <v>39</v>
      </c>
      <c r="B1" s="134"/>
      <c r="C1" s="134"/>
      <c r="D1" s="134"/>
      <c r="F1" s="134" t="s">
        <v>40</v>
      </c>
      <c r="G1" s="134"/>
      <c r="H1" s="134"/>
      <c r="I1" s="134"/>
      <c r="K1" s="134" t="s">
        <v>41</v>
      </c>
      <c r="L1" s="134"/>
      <c r="M1" s="134"/>
      <c r="N1" s="134"/>
      <c r="P1" s="134" t="s">
        <v>42</v>
      </c>
      <c r="Q1" s="134"/>
      <c r="R1" s="134"/>
      <c r="S1" s="134"/>
      <c r="U1" s="134" t="s">
        <v>43</v>
      </c>
      <c r="V1" s="134"/>
      <c r="W1" s="134"/>
      <c r="X1" s="134"/>
    </row>
    <row r="2" spans="1:24" x14ac:dyDescent="0.25">
      <c r="A2" s="141">
        <v>46235</v>
      </c>
      <c r="B2" s="141"/>
      <c r="C2" s="141"/>
      <c r="D2" s="141"/>
      <c r="F2" s="141">
        <f>A2</f>
        <v>46235</v>
      </c>
      <c r="G2" s="141"/>
      <c r="H2" s="141"/>
      <c r="I2" s="141"/>
      <c r="K2" s="141">
        <f>A2</f>
        <v>46235</v>
      </c>
      <c r="L2" s="141"/>
      <c r="M2" s="141"/>
      <c r="N2" s="141"/>
      <c r="P2" s="141">
        <f>A2</f>
        <v>46235</v>
      </c>
      <c r="Q2" s="141"/>
      <c r="R2" s="141"/>
      <c r="S2" s="141"/>
      <c r="U2" s="141">
        <f>A2</f>
        <v>46235</v>
      </c>
      <c r="V2" s="141"/>
      <c r="W2" s="141"/>
      <c r="X2" s="141"/>
    </row>
    <row r="3" spans="1:24" x14ac:dyDescent="0.25">
      <c r="A3" s="13" t="s">
        <v>14</v>
      </c>
      <c r="B3" s="13" t="s">
        <v>13</v>
      </c>
      <c r="C3" s="9" t="s">
        <v>12</v>
      </c>
      <c r="D3" s="9" t="s">
        <v>3</v>
      </c>
      <c r="F3" s="13" t="s">
        <v>14</v>
      </c>
      <c r="G3" s="13" t="s">
        <v>13</v>
      </c>
      <c r="H3" s="9" t="s">
        <v>12</v>
      </c>
      <c r="I3" s="9" t="s">
        <v>3</v>
      </c>
      <c r="K3" s="13" t="s">
        <v>14</v>
      </c>
      <c r="L3" s="13" t="s">
        <v>13</v>
      </c>
      <c r="M3" s="9" t="s">
        <v>12</v>
      </c>
      <c r="N3" s="9" t="s">
        <v>3</v>
      </c>
      <c r="P3" s="13" t="s">
        <v>14</v>
      </c>
      <c r="Q3" s="13" t="s">
        <v>13</v>
      </c>
      <c r="R3" s="9" t="s">
        <v>12</v>
      </c>
      <c r="S3" s="9" t="s">
        <v>3</v>
      </c>
      <c r="U3" s="13" t="s">
        <v>14</v>
      </c>
      <c r="V3" s="13" t="s">
        <v>13</v>
      </c>
      <c r="W3" s="9" t="s">
        <v>12</v>
      </c>
      <c r="X3" s="9" t="s">
        <v>3</v>
      </c>
    </row>
    <row r="4" spans="1:24" x14ac:dyDescent="0.25">
      <c r="A4" s="1">
        <v>1</v>
      </c>
      <c r="B4" s="1" t="s">
        <v>15</v>
      </c>
      <c r="C4" s="2">
        <f>[3]Page1_1!$H$39/[3]Page1_1!$H$42</f>
        <v>0.43978554478870602</v>
      </c>
      <c r="D4" s="25">
        <f>[3]Page1_1!$H$39/[3]Page1_1!$F$39-1</f>
        <v>7.5384909307564474E-2</v>
      </c>
      <c r="F4" s="1">
        <v>1</v>
      </c>
      <c r="G4" s="1" t="s">
        <v>15</v>
      </c>
      <c r="H4" s="2">
        <f>[3]Page1_1!$H$15/[3]Page1_1!$H$18</f>
        <v>0.21402350140936033</v>
      </c>
      <c r="I4" s="25">
        <f>[3]Page1_1!$H$15/[3]Page1_1!$F$15-1</f>
        <v>0.26842144750031394</v>
      </c>
      <c r="K4" s="1">
        <v>1</v>
      </c>
      <c r="L4" s="1" t="s">
        <v>15</v>
      </c>
      <c r="M4" s="2">
        <f>[3]Page1_1!$H$27/[3]Page1_1!$H$30</f>
        <v>0.40682490452599424</v>
      </c>
      <c r="N4" s="25">
        <f>[3]Page1_1!$H$27/[3]Page1_1!$F$27-1</f>
        <v>0.2263876901458699</v>
      </c>
      <c r="P4" s="1">
        <v>1</v>
      </c>
      <c r="Q4" s="1" t="s">
        <v>15</v>
      </c>
      <c r="R4" s="2">
        <f>[3]Page1_1!$H$33/[3]Page1_1!$H$36</f>
        <v>0.35514394168482954</v>
      </c>
      <c r="S4" s="25">
        <f>[3]Page1_1!$H$33/[3]Page1_1!$F$33-1</f>
        <v>0.10628873454369336</v>
      </c>
      <c r="U4" s="1">
        <v>1</v>
      </c>
      <c r="V4" s="1" t="s">
        <v>15</v>
      </c>
      <c r="W4" s="2">
        <f>[3]Page1_1!$H$21/[3]Page1_1!$H$24</f>
        <v>0.28584890544905467</v>
      </c>
      <c r="X4" s="25">
        <f>[3]Page1_1!$H$21/[3]Page1_1!$F$21-1</f>
        <v>0.46826122840631457</v>
      </c>
    </row>
    <row r="5" spans="1:24" x14ac:dyDescent="0.25">
      <c r="A5" s="1">
        <v>2</v>
      </c>
      <c r="B5" s="1" t="s">
        <v>16</v>
      </c>
      <c r="C5" s="2">
        <f>[3]Page1_1!$H$38/[3]Page1_1!$H$42</f>
        <v>0.27480796412417341</v>
      </c>
      <c r="D5" s="25">
        <f>[3]Page1_1!$H$38/[3]Page1_1!$F$38-1</f>
        <v>0.14725178773157932</v>
      </c>
      <c r="F5" s="1">
        <v>2</v>
      </c>
      <c r="G5" s="1" t="s">
        <v>16</v>
      </c>
      <c r="H5" s="2">
        <f>[3]Page1_1!$H$14/[3]Page1_1!$H$18</f>
        <v>0.18242453626950575</v>
      </c>
      <c r="I5" s="25">
        <f>[3]Page1_1!$H$14/[3]Page1_1!$F$14-1</f>
        <v>0.13814220594285542</v>
      </c>
      <c r="K5" s="1">
        <v>2</v>
      </c>
      <c r="L5" s="1" t="s">
        <v>16</v>
      </c>
      <c r="M5" s="2">
        <f>[3]Page1_1!$H$26/[3]Page1_1!$H$30</f>
        <v>0.33098110616063836</v>
      </c>
      <c r="N5" s="25">
        <f>[3]Page1_1!$H$26/[3]Page1_1!$F$26-1</f>
        <v>5.8976999985020484E-2</v>
      </c>
      <c r="P5" s="1">
        <v>2</v>
      </c>
      <c r="Q5" s="1" t="s">
        <v>16</v>
      </c>
      <c r="R5" s="2">
        <f>[3]Page1_1!$H$32/[3]Page1_1!$H$36</f>
        <v>0.18807652078604456</v>
      </c>
      <c r="S5" s="25">
        <f>[3]Page1_1!$H$32/[3]Page1_1!$F$32-1</f>
        <v>0.17266233067973191</v>
      </c>
      <c r="U5" s="1">
        <v>2</v>
      </c>
      <c r="V5" s="1" t="s">
        <v>16</v>
      </c>
      <c r="W5" s="2">
        <f>[3]Page1_1!$H$20/[3]Page1_1!$H$24</f>
        <v>0.46803263188047328</v>
      </c>
      <c r="X5" s="25">
        <f>[3]Page1_1!$H$20/[3]Page1_1!$F$20-1</f>
        <v>0.48362168459003985</v>
      </c>
    </row>
    <row r="6" spans="1:24" x14ac:dyDescent="0.25">
      <c r="A6" s="1">
        <v>3</v>
      </c>
      <c r="B6" s="1" t="s">
        <v>17</v>
      </c>
      <c r="C6" s="2">
        <f>[3]Page1_1!$H$41/[3]Page1_1!$H$42</f>
        <v>0.28540649108712057</v>
      </c>
      <c r="D6" s="25">
        <f>[3]Page1_1!$H$41/[3]Page1_1!$F$41-1</f>
        <v>3.3794312353489397E-2</v>
      </c>
      <c r="F6" s="1">
        <v>3</v>
      </c>
      <c r="G6" s="1" t="s">
        <v>17</v>
      </c>
      <c r="H6" s="2">
        <f>[3]Page1_1!$H$17/[3]Page1_1!$H$18</f>
        <v>0.60355196232113395</v>
      </c>
      <c r="I6" s="25">
        <f>[3]Page1_1!$H$17/[3]Page1_1!$F$17-1</f>
        <v>0.15035648404170376</v>
      </c>
      <c r="K6" s="1">
        <v>3</v>
      </c>
      <c r="L6" s="1" t="s">
        <v>17</v>
      </c>
      <c r="M6" s="2">
        <f>[3]Page1_1!$H$29/[3]Page1_1!$H$30</f>
        <v>0.2621939893133674</v>
      </c>
      <c r="N6" s="25">
        <f>[3]Page1_1!$H$29/[3]Page1_1!$F$29-1</f>
        <v>4.8972387997489264E-2</v>
      </c>
      <c r="P6" s="1">
        <v>3</v>
      </c>
      <c r="Q6" s="1" t="s">
        <v>17</v>
      </c>
      <c r="R6" s="2">
        <f>[3]Page1_1!$H$35/[3]Page1_1!$H$36</f>
        <v>0.45677953752912592</v>
      </c>
      <c r="S6" s="25">
        <f>[3]Page1_1!$H$35/[3]Page1_1!$F$35-1</f>
        <v>4.150726513253189E-2</v>
      </c>
      <c r="U6" s="1">
        <v>3</v>
      </c>
      <c r="V6" s="1" t="s">
        <v>17</v>
      </c>
      <c r="W6" s="2">
        <f>[3]Page1_1!$H$23/[3]Page1_1!$H$24</f>
        <v>0.24611846267047205</v>
      </c>
      <c r="X6" s="25">
        <f>[3]Page1_1!$H$23/[3]Page1_1!$F$23-1</f>
        <v>4.9511089259499874E-2</v>
      </c>
    </row>
    <row r="9" spans="1:24" x14ac:dyDescent="0.25">
      <c r="C9" s="70">
        <f>C4*'BU-Kinerja Umum'!$E$6</f>
        <v>146815.667862003</v>
      </c>
    </row>
    <row r="10" spans="1:24" x14ac:dyDescent="0.25">
      <c r="C10" s="70">
        <f>C5*'BU-Kinerja Umum'!$E$6</f>
        <v>91740.429545204999</v>
      </c>
    </row>
    <row r="11" spans="1:24" x14ac:dyDescent="0.25">
      <c r="C11" s="70">
        <f>C6*'BU-Kinerja Umum'!$E$6</f>
        <v>95278.585432448002</v>
      </c>
    </row>
  </sheetData>
  <mergeCells count="10">
    <mergeCell ref="P1:S1"/>
    <mergeCell ref="P2:S2"/>
    <mergeCell ref="U1:X1"/>
    <mergeCell ref="U2:X2"/>
    <mergeCell ref="A2:D2"/>
    <mergeCell ref="A1:D1"/>
    <mergeCell ref="F1:I1"/>
    <mergeCell ref="F2:I2"/>
    <mergeCell ref="K1:N1"/>
    <mergeCell ref="K2:N2"/>
  </mergeCells>
  <conditionalFormatting sqref="D4:D6">
    <cfRule type="dataBar" priority="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{0C4972F9-0F23-4234-948F-B3A6923BFDC5}</x14:id>
        </ext>
      </extLst>
    </cfRule>
  </conditionalFormatting>
  <conditionalFormatting sqref="I4:I6">
    <cfRule type="dataBar" priority="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{604C71A3-CD3C-4F3D-B3DA-87BD88605D16}</x14:id>
        </ext>
      </extLst>
    </cfRule>
  </conditionalFormatting>
  <conditionalFormatting sqref="N4:N6">
    <cfRule type="dataBar" priority="3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{9A5CFBB3-F278-45CC-B64E-B3534BF803E1}</x14:id>
        </ext>
      </extLst>
    </cfRule>
  </conditionalFormatting>
  <conditionalFormatting sqref="S4:S6">
    <cfRule type="dataBar" priority="2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{E5BF5698-48E6-494A-BC14-F93C1F04896A}</x14:id>
        </ext>
      </extLst>
    </cfRule>
  </conditionalFormatting>
  <conditionalFormatting sqref="X4:X6">
    <cfRule type="dataBar" priority="1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{13F28FDC-5FB7-4F59-B6F8-D4C8A84D7C0B}</x14:id>
        </ext>
      </extLst>
    </cfRule>
  </conditionalFormatting>
  <pageMargins left="0.7" right="0.7" top="0.75" bottom="0.75" header="0.3" footer="0.3"/>
  <pageSetup paperSize="0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4972F9-0F23-4234-948F-B3A6923BFDC5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D4:D6</xm:sqref>
        </x14:conditionalFormatting>
        <x14:conditionalFormatting xmlns:xm="http://schemas.microsoft.com/office/excel/2006/main">
          <x14:cfRule type="dataBar" id="{604C71A3-CD3C-4F3D-B3DA-87BD88605D16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I4:I6</xm:sqref>
        </x14:conditionalFormatting>
        <x14:conditionalFormatting xmlns:xm="http://schemas.microsoft.com/office/excel/2006/main">
          <x14:cfRule type="dataBar" id="{9A5CFBB3-F278-45CC-B64E-B3534BF803E1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N4:N6</xm:sqref>
        </x14:conditionalFormatting>
        <x14:conditionalFormatting xmlns:xm="http://schemas.microsoft.com/office/excel/2006/main">
          <x14:cfRule type="dataBar" id="{E5BF5698-48E6-494A-BC14-F93C1F04896A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S4:S6</xm:sqref>
        </x14:conditionalFormatting>
        <x14:conditionalFormatting xmlns:xm="http://schemas.microsoft.com/office/excel/2006/main">
          <x14:cfRule type="dataBar" id="{13F28FDC-5FB7-4F59-B6F8-D4C8A84D7C0B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X4:X6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C894E8-49A1-4C0F-B58F-7A25E1862ED7}">
  <sheetPr codeName="Sheet3"/>
  <dimension ref="A1:AC11"/>
  <sheetViews>
    <sheetView showGridLines="0" zoomScale="126" zoomScaleNormal="160" workbookViewId="0">
      <selection activeCell="F2" sqref="F2"/>
    </sheetView>
  </sheetViews>
  <sheetFormatPr defaultColWidth="8.77734375" defaultRowHeight="13.8" x14ac:dyDescent="0.25"/>
  <cols>
    <col min="1" max="1" width="3.21875" style="15" bestFit="1" customWidth="1"/>
    <col min="2" max="2" width="8.44140625" style="15" bestFit="1" customWidth="1"/>
    <col min="3" max="3" width="6.6640625" style="15" bestFit="1" customWidth="1"/>
    <col min="4" max="4" width="7.21875" style="15" bestFit="1" customWidth="1"/>
    <col min="5" max="5" width="5.77734375" style="15" bestFit="1" customWidth="1"/>
    <col min="6" max="6" width="0.77734375" style="15" customWidth="1"/>
    <col min="7" max="7" width="3.21875" style="15" bestFit="1" customWidth="1"/>
    <col min="8" max="8" width="8.44140625" style="15" bestFit="1" customWidth="1"/>
    <col min="9" max="9" width="6.6640625" style="15" bestFit="1" customWidth="1"/>
    <col min="10" max="10" width="7.21875" style="15" bestFit="1" customWidth="1"/>
    <col min="11" max="11" width="5.77734375" style="15" bestFit="1" customWidth="1"/>
    <col min="12" max="12" width="0.77734375" style="15" customWidth="1"/>
    <col min="13" max="13" width="3.21875" style="15" bestFit="1" customWidth="1"/>
    <col min="14" max="14" width="8.44140625" style="15" bestFit="1" customWidth="1"/>
    <col min="15" max="16" width="6.6640625" style="15" bestFit="1" customWidth="1"/>
    <col min="17" max="17" width="5.77734375" style="15" bestFit="1" customWidth="1"/>
    <col min="18" max="18" width="0.77734375" style="15" customWidth="1"/>
    <col min="19" max="19" width="3.21875" style="15" bestFit="1" customWidth="1"/>
    <col min="20" max="20" width="8.44140625" style="15" bestFit="1" customWidth="1"/>
    <col min="21" max="22" width="6.6640625" style="15" bestFit="1" customWidth="1"/>
    <col min="23" max="23" width="5.77734375" style="15" bestFit="1" customWidth="1"/>
    <col min="24" max="24" width="0.77734375" style="15" customWidth="1"/>
    <col min="25" max="25" width="3.21875" style="15" bestFit="1" customWidth="1"/>
    <col min="26" max="26" width="8.44140625" style="15" bestFit="1" customWidth="1"/>
    <col min="27" max="28" width="6.6640625" style="15" bestFit="1" customWidth="1"/>
    <col min="29" max="29" width="5.77734375" style="15" bestFit="1" customWidth="1"/>
    <col min="30" max="16384" width="8.77734375" style="15"/>
  </cols>
  <sheetData>
    <row r="1" spans="1:29" x14ac:dyDescent="0.25">
      <c r="A1" s="134" t="s">
        <v>39</v>
      </c>
      <c r="B1" s="134"/>
      <c r="C1" s="134"/>
      <c r="D1" s="134"/>
      <c r="E1" s="134"/>
      <c r="G1" s="134" t="s">
        <v>40</v>
      </c>
      <c r="H1" s="134"/>
      <c r="I1" s="134"/>
      <c r="J1" s="134"/>
      <c r="K1" s="134"/>
      <c r="M1" s="134" t="s">
        <v>41</v>
      </c>
      <c r="N1" s="134"/>
      <c r="O1" s="134"/>
      <c r="P1" s="134"/>
      <c r="Q1" s="134"/>
      <c r="S1" s="134" t="s">
        <v>42</v>
      </c>
      <c r="T1" s="134"/>
      <c r="U1" s="134"/>
      <c r="V1" s="134"/>
      <c r="W1" s="134"/>
      <c r="Y1" s="134" t="s">
        <v>43</v>
      </c>
      <c r="Z1" s="134"/>
      <c r="AA1" s="134"/>
      <c r="AB1" s="134"/>
      <c r="AC1" s="134"/>
    </row>
    <row r="2" spans="1:29" x14ac:dyDescent="0.25">
      <c r="A2" s="141">
        <v>46235</v>
      </c>
      <c r="B2" s="141"/>
      <c r="C2" s="141"/>
      <c r="D2" s="141"/>
      <c r="E2" s="141"/>
      <c r="G2" s="141">
        <f>A2</f>
        <v>46235</v>
      </c>
      <c r="H2" s="141"/>
      <c r="I2" s="141"/>
      <c r="J2" s="141"/>
      <c r="K2" s="141"/>
      <c r="M2" s="141">
        <f>G2</f>
        <v>46235</v>
      </c>
      <c r="N2" s="141"/>
      <c r="O2" s="141"/>
      <c r="P2" s="141"/>
      <c r="Q2" s="141"/>
      <c r="S2" s="141">
        <f>M2</f>
        <v>46235</v>
      </c>
      <c r="T2" s="141"/>
      <c r="U2" s="141"/>
      <c r="V2" s="141"/>
      <c r="W2" s="141"/>
      <c r="Y2" s="141">
        <f>S2</f>
        <v>46235</v>
      </c>
      <c r="Z2" s="141"/>
      <c r="AA2" s="141"/>
      <c r="AB2" s="141"/>
      <c r="AC2" s="141"/>
    </row>
    <row r="3" spans="1:29" x14ac:dyDescent="0.25">
      <c r="A3" s="13" t="s">
        <v>14</v>
      </c>
      <c r="B3" s="8" t="s">
        <v>21</v>
      </c>
      <c r="C3" s="9" t="s">
        <v>12</v>
      </c>
      <c r="D3" s="9" t="s">
        <v>3</v>
      </c>
      <c r="E3" s="9" t="s">
        <v>9</v>
      </c>
      <c r="G3" s="13" t="s">
        <v>14</v>
      </c>
      <c r="H3" s="8" t="s">
        <v>21</v>
      </c>
      <c r="I3" s="9" t="s">
        <v>12</v>
      </c>
      <c r="J3" s="9" t="s">
        <v>3</v>
      </c>
      <c r="K3" s="9" t="s">
        <v>9</v>
      </c>
      <c r="M3" s="13" t="s">
        <v>14</v>
      </c>
      <c r="N3" s="8" t="s">
        <v>21</v>
      </c>
      <c r="O3" s="9" t="s">
        <v>12</v>
      </c>
      <c r="P3" s="9" t="s">
        <v>3</v>
      </c>
      <c r="Q3" s="9" t="s">
        <v>9</v>
      </c>
      <c r="S3" s="13" t="s">
        <v>14</v>
      </c>
      <c r="T3" s="8" t="s">
        <v>21</v>
      </c>
      <c r="U3" s="9" t="s">
        <v>12</v>
      </c>
      <c r="V3" s="9" t="s">
        <v>3</v>
      </c>
      <c r="W3" s="9" t="s">
        <v>9</v>
      </c>
      <c r="Y3" s="13" t="s">
        <v>14</v>
      </c>
      <c r="Z3" s="8" t="s">
        <v>21</v>
      </c>
      <c r="AA3" s="9" t="s">
        <v>12</v>
      </c>
      <c r="AB3" s="9" t="s">
        <v>3</v>
      </c>
      <c r="AC3" s="9" t="s">
        <v>9</v>
      </c>
    </row>
    <row r="4" spans="1:29" x14ac:dyDescent="0.25">
      <c r="A4" s="1">
        <v>1</v>
      </c>
      <c r="B4" s="1" t="s">
        <v>18</v>
      </c>
      <c r="C4" s="4">
        <f>([5]Page1_1!$G$7/1000000000)/'BU-Kinerja Umum'!$E$6</f>
        <v>0.47282599896411248</v>
      </c>
      <c r="D4" s="25">
        <f>[5]Page1_1!$G$7/[5]Page1_1!$E$7-1</f>
        <v>0.16255203351276304</v>
      </c>
      <c r="E4" s="2">
        <f>[5]Page1_1!$G$9</f>
        <v>5.3889981890000004E-3</v>
      </c>
      <c r="G4" s="1">
        <v>1</v>
      </c>
      <c r="H4" s="1" t="s">
        <v>18</v>
      </c>
      <c r="I4" s="4">
        <f>([5]Page1_1!$G$55/1000000000)/'BU-Kinerja Umum'!$M$6</f>
        <v>0.15400719775796604</v>
      </c>
      <c r="J4" s="25">
        <f>[5]Page1_1!$G$55/[5]Page1_1!$E$55-1</f>
        <v>0.34672446707512039</v>
      </c>
      <c r="K4" s="2">
        <f>[5]Page1_1!$G$57</f>
        <v>2.7644444901000001E-2</v>
      </c>
      <c r="M4" s="1">
        <v>1</v>
      </c>
      <c r="N4" s="1" t="s">
        <v>18</v>
      </c>
      <c r="O4" s="4">
        <f>([5]Page1_1!$G$31/1000000000)/'BU-Kinerja Umum'!$U$6</f>
        <v>0.49357904239402095</v>
      </c>
      <c r="P4" s="25">
        <f>[5]Page1_1!$G$31/[5]Page1_1!$E$31-1</f>
        <v>0.19294012512506109</v>
      </c>
      <c r="Q4" s="2">
        <f>[5]Page1_1!$G$33</f>
        <v>3.066499502E-3</v>
      </c>
      <c r="S4" s="1">
        <v>1</v>
      </c>
      <c r="T4" s="1" t="s">
        <v>18</v>
      </c>
      <c r="U4" s="4">
        <f>([5]Page1_1!$G$19/1000000000)/'BU-Kinerja Umum'!$AC$6</f>
        <v>0.18225799864625419</v>
      </c>
      <c r="V4" s="25">
        <f>[5]Page1_1!$G$19/[5]Page1_1!$E$19-1</f>
        <v>0.49094030873966266</v>
      </c>
      <c r="W4" s="2">
        <f>[5]Page1_1!$G$21</f>
        <v>1.5187086078E-2</v>
      </c>
      <c r="Y4" s="1">
        <v>1</v>
      </c>
      <c r="Z4" s="1" t="s">
        <v>18</v>
      </c>
      <c r="AA4" s="4">
        <f>([5]Page1_1!$G$43/1000000000)/'BU-Kinerja Umum'!$AK$6</f>
        <v>0.6124764129463417</v>
      </c>
      <c r="AB4" s="25">
        <f>[5]Page1_1!$G$43/[5]Page1_1!$E$43-1</f>
        <v>0.63248706469391625</v>
      </c>
      <c r="AC4" s="2">
        <f>[5]Page1_1!$G$45</f>
        <v>2.700240975E-3</v>
      </c>
    </row>
    <row r="5" spans="1:29" x14ac:dyDescent="0.25">
      <c r="A5" s="1">
        <v>2</v>
      </c>
      <c r="B5" s="1" t="s">
        <v>19</v>
      </c>
      <c r="C5" s="4">
        <f>([5]Page1_1!$G$4/1000000000)/'BU-Kinerja Umum'!$E$6</f>
        <v>0.28540649108712057</v>
      </c>
      <c r="D5" s="25">
        <f>[5]Page1_1!$G$4/[5]Page1_1!$E$4-1</f>
        <v>3.3794312353489397E-2</v>
      </c>
      <c r="E5" s="2">
        <f>[5]Page1_1!$G$6</f>
        <v>2.4621317789000001E-2</v>
      </c>
      <c r="G5" s="1">
        <v>2</v>
      </c>
      <c r="H5" s="1" t="s">
        <v>19</v>
      </c>
      <c r="I5" s="4">
        <f>([5]Page1_1!$G$52/1000000000)/'BU-Kinerja Umum'!$M$6</f>
        <v>0.60355196232113395</v>
      </c>
      <c r="J5" s="25">
        <f>[5]Page1_1!$G$52/[5]Page1_1!$E$52-1</f>
        <v>0.15035648404170376</v>
      </c>
      <c r="K5" s="2">
        <f>[5]Page1_1!$G$54</f>
        <v>1.0857383634E-2</v>
      </c>
      <c r="M5" s="1">
        <v>2</v>
      </c>
      <c r="N5" s="1" t="s">
        <v>19</v>
      </c>
      <c r="O5" s="4">
        <f>([5]Page1_1!$G$28/1000000000)/'BU-Kinerja Umum'!$U$6</f>
        <v>0.2621939893133674</v>
      </c>
      <c r="P5" s="25">
        <f>[5]Page1_1!$G$28/[5]Page1_1!$E$28-1</f>
        <v>4.8972387997489264E-2</v>
      </c>
      <c r="Q5" s="2">
        <f>[5]Page1_1!$G$30</f>
        <v>2.5196016572000001E-2</v>
      </c>
      <c r="S5" s="1">
        <v>2</v>
      </c>
      <c r="T5" s="1" t="s">
        <v>19</v>
      </c>
      <c r="U5" s="4">
        <f>([5]Page1_1!$G$16/1000000000)/'BU-Kinerja Umum'!$AC$6</f>
        <v>0.45677953752912592</v>
      </c>
      <c r="V5" s="25">
        <f>[5]Page1_1!$G$16/[5]Page1_1!$E$16-1</f>
        <v>4.150726513253189E-2</v>
      </c>
      <c r="W5" s="2">
        <f>[5]Page1_1!$G$18</f>
        <v>1.4804659114E-2</v>
      </c>
      <c r="Y5" s="1">
        <v>2</v>
      </c>
      <c r="Z5" s="1" t="s">
        <v>19</v>
      </c>
      <c r="AA5" s="4">
        <f>([5]Page1_1!$G$40/1000000000)/'BU-Kinerja Umum'!$AK$6</f>
        <v>0.24611846267047208</v>
      </c>
      <c r="AB5" s="25">
        <f>[5]Page1_1!$G$40/[5]Page1_1!$E$40-1</f>
        <v>4.9511089259499874E-2</v>
      </c>
      <c r="AC5" s="2">
        <f>[5]Page1_1!$G$42</f>
        <v>1.8582884583E-2</v>
      </c>
    </row>
    <row r="6" spans="1:29" x14ac:dyDescent="0.25">
      <c r="A6" s="1">
        <v>3</v>
      </c>
      <c r="B6" s="1" t="s">
        <v>20</v>
      </c>
      <c r="C6" s="4">
        <f>([5]Page1_1!$G$13/1000000000)/'BU-Kinerja Umum'!$E$6</f>
        <v>0.24176750994876697</v>
      </c>
      <c r="D6" s="25">
        <f>[5]Page1_1!$G$13/[5]Page1_1!$E$13-1</f>
        <v>-4.5222124754218385E-5</v>
      </c>
      <c r="E6" s="2">
        <f>[5]Page1_1!$G$15</f>
        <v>4.1302421798999997E-2</v>
      </c>
      <c r="G6" s="1">
        <v>3</v>
      </c>
      <c r="H6" s="1" t="s">
        <v>20</v>
      </c>
      <c r="I6" s="4">
        <f>([5]Page1_1!$G$61/1000000000)/'BU-Kinerja Umum'!$M$6</f>
        <v>0.24244083992090001</v>
      </c>
      <c r="J6" s="25">
        <f>[5]Page1_1!$G$61/[5]Page1_1!$E$61-1</f>
        <v>0.12942827104385191</v>
      </c>
      <c r="K6" s="2">
        <f>[5]Page1_1!$G$63</f>
        <v>5.2594658515000003E-2</v>
      </c>
      <c r="M6" s="1">
        <v>3</v>
      </c>
      <c r="N6" s="1" t="s">
        <v>20</v>
      </c>
      <c r="O6" s="4">
        <f>([5]Page1_1!$G$37/1000000000)/'BU-Kinerja Umum'!$U$6</f>
        <v>0.24422696829261162</v>
      </c>
      <c r="P6" s="25">
        <f>[5]Page1_1!$G$37/[5]Page1_1!$E$37-1</f>
        <v>5.9442280908174938E-2</v>
      </c>
      <c r="Q6" s="2">
        <f>[5]Page1_1!$G$39</f>
        <v>2.4621031969999999E-2</v>
      </c>
      <c r="S6" s="1">
        <v>3</v>
      </c>
      <c r="T6" s="1" t="s">
        <v>20</v>
      </c>
      <c r="U6" s="4">
        <f>([5]Page1_1!$G$25/1000000000)/'BU-Kinerja Umum'!$AC$6</f>
        <v>0.36096246382461988</v>
      </c>
      <c r="V6" s="25">
        <f>[5]Page1_1!$G$25/[5]Page1_1!$E$25-1</f>
        <v>5.0090914072762338E-3</v>
      </c>
      <c r="W6" s="2">
        <f>[5]Page1_1!$G$27</f>
        <v>4.8888190991000002E-2</v>
      </c>
      <c r="Y6" s="1">
        <v>3</v>
      </c>
      <c r="Z6" s="1" t="s">
        <v>20</v>
      </c>
      <c r="AA6" s="4">
        <f>([5]Page1_1!$G$49/1000000000)/'BU-Kinerja Umum'!$AK$6</f>
        <v>0.14140512438318636</v>
      </c>
      <c r="AB6" s="25">
        <f>[5]Page1_1!$G$49/[5]Page1_1!$E$49-1</f>
        <v>4.7665278231481922E-2</v>
      </c>
      <c r="AC6" s="2">
        <f>[5]Page1_1!$G$51</f>
        <v>2.6123805053999999E-2</v>
      </c>
    </row>
    <row r="8" spans="1:29" x14ac:dyDescent="0.25">
      <c r="C8" s="18"/>
    </row>
    <row r="9" spans="1:29" x14ac:dyDescent="0.25">
      <c r="C9" s="15" t="s">
        <v>126</v>
      </c>
      <c r="D9" s="15">
        <v>332562.96457106201</v>
      </c>
    </row>
    <row r="10" spans="1:29" x14ac:dyDescent="0.25">
      <c r="C10" s="15">
        <v>26</v>
      </c>
      <c r="D10" s="15">
        <f>D9*C6</f>
        <v>80402.91984552567</v>
      </c>
    </row>
    <row r="11" spans="1:29" x14ac:dyDescent="0.25">
      <c r="C11" s="15">
        <v>25</v>
      </c>
      <c r="D11" s="15">
        <f>D10/(D6+1)</f>
        <v>80406.556000832192</v>
      </c>
    </row>
  </sheetData>
  <mergeCells count="10">
    <mergeCell ref="S1:W1"/>
    <mergeCell ref="S2:W2"/>
    <mergeCell ref="Y1:AC1"/>
    <mergeCell ref="Y2:AC2"/>
    <mergeCell ref="A2:E2"/>
    <mergeCell ref="A1:E1"/>
    <mergeCell ref="G1:K1"/>
    <mergeCell ref="G2:K2"/>
    <mergeCell ref="M1:Q1"/>
    <mergeCell ref="M2:Q2"/>
  </mergeCells>
  <conditionalFormatting sqref="D4:D6">
    <cfRule type="dataBar" priority="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{944DD428-8656-4E75-A0EB-21E50C5CD352}</x14:id>
        </ext>
      </extLst>
    </cfRule>
  </conditionalFormatting>
  <conditionalFormatting sqref="J4:J6">
    <cfRule type="dataBar" priority="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{0F5D9189-63F0-4270-A858-5B37676DAB55}</x14:id>
        </ext>
      </extLst>
    </cfRule>
  </conditionalFormatting>
  <conditionalFormatting sqref="P4:P6">
    <cfRule type="dataBar" priority="3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{67409B05-CECE-4E17-9EF9-9F933A4CBEC0}</x14:id>
        </ext>
      </extLst>
    </cfRule>
  </conditionalFormatting>
  <conditionalFormatting sqref="V4:V6">
    <cfRule type="dataBar" priority="2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{FC9FDDD1-2746-43B3-BBDB-DE9E5847545B}</x14:id>
        </ext>
      </extLst>
    </cfRule>
  </conditionalFormatting>
  <conditionalFormatting sqref="AB4:AB6">
    <cfRule type="dataBar" priority="1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{4F6A69DE-C9EE-42E9-8849-32A7EDAF3828}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44DD428-8656-4E75-A0EB-21E50C5CD352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D4:D6</xm:sqref>
        </x14:conditionalFormatting>
        <x14:conditionalFormatting xmlns:xm="http://schemas.microsoft.com/office/excel/2006/main">
          <x14:cfRule type="dataBar" id="{0F5D9189-63F0-4270-A858-5B37676DAB55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J4:J6</xm:sqref>
        </x14:conditionalFormatting>
        <x14:conditionalFormatting xmlns:xm="http://schemas.microsoft.com/office/excel/2006/main">
          <x14:cfRule type="dataBar" id="{67409B05-CECE-4E17-9EF9-9F933A4CBEC0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P4:P6</xm:sqref>
        </x14:conditionalFormatting>
        <x14:conditionalFormatting xmlns:xm="http://schemas.microsoft.com/office/excel/2006/main">
          <x14:cfRule type="dataBar" id="{FC9FDDD1-2746-43B3-BBDB-DE9E5847545B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V4:V6</xm:sqref>
        </x14:conditionalFormatting>
        <x14:conditionalFormatting xmlns:xm="http://schemas.microsoft.com/office/excel/2006/main">
          <x14:cfRule type="dataBar" id="{4F6A69DE-C9EE-42E9-8849-32A7EDAF3828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AB4:AB6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BC469-DCAD-43A8-9428-67AD8D178D4C}">
  <sheetPr codeName="Sheet4"/>
  <dimension ref="A1:P48"/>
  <sheetViews>
    <sheetView showGridLines="0" zoomScale="70" zoomScaleNormal="70" workbookViewId="0">
      <selection activeCell="O21" sqref="O21"/>
    </sheetView>
  </sheetViews>
  <sheetFormatPr defaultColWidth="8.77734375" defaultRowHeight="13.8" x14ac:dyDescent="0.25"/>
  <cols>
    <col min="1" max="1" width="3.21875" style="20" bestFit="1" customWidth="1"/>
    <col min="2" max="2" width="64.6640625" style="15" bestFit="1" customWidth="1"/>
    <col min="3" max="3" width="6.77734375" style="15" bestFit="1" customWidth="1"/>
    <col min="4" max="4" width="9.21875" style="15" customWidth="1"/>
    <col min="5" max="5" width="8.109375" style="15" bestFit="1" customWidth="1"/>
    <col min="6" max="6" width="8.6640625" style="15" bestFit="1" customWidth="1"/>
    <col min="7" max="7" width="2.5546875" style="15" customWidth="1"/>
    <col min="8" max="8" width="4.109375" style="15" customWidth="1"/>
    <col min="9" max="9" width="20.77734375" style="15" customWidth="1"/>
    <col min="10" max="11" width="8.77734375" style="15" customWidth="1"/>
    <col min="12" max="12" width="9.5546875" style="15" customWidth="1"/>
    <col min="13" max="13" width="8.77734375" style="15"/>
    <col min="14" max="14" width="9.5546875" style="15" bestFit="1" customWidth="1"/>
    <col min="15" max="15" width="11.33203125" style="15" customWidth="1"/>
    <col min="16" max="16384" width="8.77734375" style="15"/>
  </cols>
  <sheetData>
    <row r="1" spans="1:16" ht="18" x14ac:dyDescent="0.35">
      <c r="A1" s="148" t="s">
        <v>39</v>
      </c>
      <c r="B1" s="148"/>
      <c r="C1" s="148"/>
      <c r="D1" s="148"/>
      <c r="E1" s="148"/>
      <c r="H1" s="145" t="s">
        <v>39</v>
      </c>
      <c r="I1" s="146"/>
      <c r="J1" s="146"/>
      <c r="K1" s="146"/>
      <c r="L1" s="147"/>
    </row>
    <row r="2" spans="1:16" ht="18" x14ac:dyDescent="0.35">
      <c r="A2" s="21" t="s">
        <v>14</v>
      </c>
      <c r="B2" s="22" t="s">
        <v>30</v>
      </c>
      <c r="C2" s="22" t="s">
        <v>9</v>
      </c>
      <c r="D2" s="22" t="s">
        <v>12</v>
      </c>
      <c r="E2" s="22" t="s">
        <v>3</v>
      </c>
      <c r="H2" s="96" t="s">
        <v>14</v>
      </c>
      <c r="I2" s="97" t="s">
        <v>30</v>
      </c>
      <c r="J2" s="97" t="s">
        <v>9</v>
      </c>
      <c r="K2" s="97" t="s">
        <v>12</v>
      </c>
      <c r="L2" s="98" t="s">
        <v>3</v>
      </c>
    </row>
    <row r="3" spans="1:16" ht="18" x14ac:dyDescent="0.35">
      <c r="A3" s="20">
        <v>1</v>
      </c>
      <c r="B3" s="15" t="str">
        <f>[6]Page1_1!$B$8</f>
        <v>3. Industri Pengolahan</v>
      </c>
      <c r="C3" s="18">
        <f>[6]Page1_1!$H$8</f>
        <v>7.0817326960000001E-3</v>
      </c>
      <c r="D3" s="18">
        <f>[6]Page1_1!$E$8/[6]Page1_1!$E$13</f>
        <v>0.37300013654374281</v>
      </c>
      <c r="E3" s="18">
        <f>[6]Page1_1!$E$8/[6]Page1_1!$C$8-1</f>
        <v>0.17858905931785651</v>
      </c>
      <c r="H3" s="99">
        <v>1</v>
      </c>
      <c r="I3" s="100" t="s">
        <v>103</v>
      </c>
      <c r="J3" s="101">
        <v>7.0817326960000001E-3</v>
      </c>
      <c r="K3" s="101">
        <v>0.37300013654374281</v>
      </c>
      <c r="L3" s="102">
        <v>0.17858905931785651</v>
      </c>
      <c r="N3" s="71">
        <f>D3*SUM('BU-Jenis Kredit'!$C$9:$C$10)</f>
        <v>88981.456906230989</v>
      </c>
    </row>
    <row r="4" spans="1:16" ht="18" x14ac:dyDescent="0.35">
      <c r="A4" s="20">
        <v>2</v>
      </c>
      <c r="B4" s="15" t="str">
        <f>[6]Page1_1!$B$9</f>
        <v>1. Pertanian, Kehutanan dan Perikanan</v>
      </c>
      <c r="C4" s="18">
        <f>[6]Page1_1!$H$9</f>
        <v>1.3921546599000001E-2</v>
      </c>
      <c r="D4" s="18">
        <f>[6]Page1_1!$E$9/[6]Page1_1!$E$13</f>
        <v>0.23554924135096603</v>
      </c>
      <c r="E4" s="18">
        <f>[6]Page1_1!$E$9/[6]Page1_1!$C$9-1</f>
        <v>2.3799344237177333E-2</v>
      </c>
      <c r="F4" s="19"/>
      <c r="G4" s="19"/>
      <c r="H4" s="99">
        <v>2</v>
      </c>
      <c r="I4" s="100" t="s">
        <v>104</v>
      </c>
      <c r="J4" s="101">
        <v>1.3921546599000001E-2</v>
      </c>
      <c r="K4" s="101">
        <v>0.23554924135096603</v>
      </c>
      <c r="L4" s="102">
        <v>2.3799344237177333E-2</v>
      </c>
      <c r="M4" s="18"/>
      <c r="N4" s="71">
        <f>D4*SUM('BU-Jenis Kredit'!$C$9:$C$10)</f>
        <v>56191.707763915001</v>
      </c>
    </row>
    <row r="5" spans="1:16" ht="18" x14ac:dyDescent="0.35">
      <c r="A5" s="20">
        <v>3</v>
      </c>
      <c r="B5" s="15" t="str">
        <f>[6]Page1_1!$B$10</f>
        <v>7. Perdagangan Besar Dan Eceran; Reparasi dan Perawatan Mobil dan Sepeda Motor</v>
      </c>
      <c r="C5" s="18">
        <f>[6]Page1_1!$H$10</f>
        <v>3.7462052980999999E-2</v>
      </c>
      <c r="D5" s="18">
        <f>[6]Page1_1!$E$10/[6]Page1_1!$E$13</f>
        <v>0.20050448117853376</v>
      </c>
      <c r="E5" s="18">
        <f>[6]Page1_1!$E$10/[6]Page1_1!$C$10-1</f>
        <v>6.4382454695208757E-3</v>
      </c>
      <c r="F5" s="19"/>
      <c r="G5" s="19"/>
      <c r="H5" s="99">
        <v>3</v>
      </c>
      <c r="I5" s="100" t="s">
        <v>124</v>
      </c>
      <c r="J5" s="101">
        <v>3.7462052980999999E-2</v>
      </c>
      <c r="K5" s="101">
        <v>0.20050448117853376</v>
      </c>
      <c r="L5" s="102">
        <v>6.4382454695208757E-3</v>
      </c>
      <c r="M5" s="18"/>
      <c r="N5" s="71">
        <f>D5*SUM('BU-Jenis Kredit'!$C$9:$C$10)</f>
        <v>47831.566542608001</v>
      </c>
    </row>
    <row r="6" spans="1:16" ht="18" x14ac:dyDescent="0.35">
      <c r="A6" s="20">
        <v>4</v>
      </c>
      <c r="B6" s="15" t="str">
        <f>[6]Page1_1!$B$11</f>
        <v>6. Konstruksi</v>
      </c>
      <c r="C6" s="18">
        <f>[6]Page1_1!$H$11</f>
        <v>4.6697395712000003E-2</v>
      </c>
      <c r="D6" s="18">
        <f>[6]Page1_1!$E$11/[6]Page1_1!$E$13</f>
        <v>3.1299548402146153E-2</v>
      </c>
      <c r="E6" s="18">
        <f>[6]Page1_1!$E$11/[6]Page1_1!$C$11-1</f>
        <v>0.17396446431509749</v>
      </c>
      <c r="F6" s="19"/>
      <c r="G6" s="19"/>
      <c r="H6" s="99">
        <v>4</v>
      </c>
      <c r="I6" s="100" t="s">
        <v>105</v>
      </c>
      <c r="J6" s="101">
        <v>4.6697395712000003E-2</v>
      </c>
      <c r="K6" s="101">
        <v>3.1299548402146153E-2</v>
      </c>
      <c r="L6" s="102">
        <v>0.17396446431509749</v>
      </c>
      <c r="M6" s="18"/>
      <c r="N6" s="71">
        <f>D6*SUM('BU-Jenis Kredit'!$C$9:$C$10)</f>
        <v>7466.6981174239991</v>
      </c>
    </row>
    <row r="7" spans="1:16" ht="18" x14ac:dyDescent="0.35">
      <c r="A7" s="20">
        <v>5</v>
      </c>
      <c r="B7" s="15" t="str">
        <f>[6]Page1_1!$B$12</f>
        <v>4. Pengadaan Listrik, Gas, Uap/Air Panas dan Udara Dingin</v>
      </c>
      <c r="C7" s="18">
        <f>[6]Page1_1!$H$12</f>
        <v>6.5257746E-4</v>
      </c>
      <c r="D7" s="18">
        <f>[6]Page1_1!$E$12/[6]Page1_1!$E$13</f>
        <v>2.5726741307420305E-2</v>
      </c>
      <c r="E7" s="18">
        <f>[6]Page1_1!$E$12/[6]Page1_1!$C$12-1</f>
        <v>6.8221802433291012E-2</v>
      </c>
      <c r="F7" s="19"/>
      <c r="G7" s="19"/>
      <c r="H7" s="99">
        <v>5</v>
      </c>
      <c r="I7" s="100" t="s">
        <v>106</v>
      </c>
      <c r="J7" s="101">
        <v>6.5257746E-4</v>
      </c>
      <c r="K7" s="101">
        <v>2.5726741307420305E-2</v>
      </c>
      <c r="L7" s="102">
        <v>6.8221802433291012E-2</v>
      </c>
      <c r="M7" s="18"/>
      <c r="N7" s="71">
        <f>D7*SUM('BU-Jenis Kredit'!$C$9:$C$10)</f>
        <v>6137.2710053029996</v>
      </c>
    </row>
    <row r="8" spans="1:16" ht="18" x14ac:dyDescent="0.35">
      <c r="A8" s="148" t="s">
        <v>40</v>
      </c>
      <c r="B8" s="148"/>
      <c r="C8" s="148"/>
      <c r="D8" s="148"/>
      <c r="E8" s="148"/>
      <c r="F8" s="19"/>
      <c r="G8" s="19"/>
      <c r="H8" s="142" t="s">
        <v>40</v>
      </c>
      <c r="I8" s="143"/>
      <c r="J8" s="143"/>
      <c r="K8" s="143"/>
      <c r="L8" s="144"/>
      <c r="M8" s="18"/>
    </row>
    <row r="9" spans="1:16" ht="18" x14ac:dyDescent="0.35">
      <c r="A9" s="21" t="s">
        <v>14</v>
      </c>
      <c r="B9" s="22" t="s">
        <v>30</v>
      </c>
      <c r="C9" s="22" t="s">
        <v>9</v>
      </c>
      <c r="D9" s="22" t="s">
        <v>12</v>
      </c>
      <c r="E9" s="22" t="s">
        <v>3</v>
      </c>
      <c r="F9" s="19"/>
      <c r="G9" s="19"/>
      <c r="H9" s="96" t="s">
        <v>14</v>
      </c>
      <c r="I9" s="97" t="s">
        <v>30</v>
      </c>
      <c r="J9" s="97" t="s">
        <v>9</v>
      </c>
      <c r="K9" s="97" t="s">
        <v>12</v>
      </c>
      <c r="L9" s="98" t="s">
        <v>3</v>
      </c>
      <c r="M9" s="18"/>
    </row>
    <row r="10" spans="1:16" ht="18" x14ac:dyDescent="0.35">
      <c r="A10" s="20">
        <v>1</v>
      </c>
      <c r="B10" s="15" t="str">
        <f>[6]Page1_1!$B$14</f>
        <v>7. Perdagangan Besar Dan Eceran; Reparasi dan Perawatan Mobil dan Sepeda Motor</v>
      </c>
      <c r="C10" s="18">
        <f>[6]Page1_1!$H$14</f>
        <v>6.6232627988000004E-2</v>
      </c>
      <c r="D10" s="18">
        <f>[6]Page1_1!$E$14/[6]Page1_1!$E$19</f>
        <v>0.27986762010748051</v>
      </c>
      <c r="E10" s="18">
        <f>[6]Page1_1!$E$14/[6]Page1_1!$C$14-1</f>
        <v>5.0654361006932325E-2</v>
      </c>
      <c r="F10" s="19"/>
      <c r="G10" s="19"/>
      <c r="H10" s="99">
        <v>1</v>
      </c>
      <c r="I10" s="100" t="s">
        <v>124</v>
      </c>
      <c r="J10" s="101">
        <v>6.6232627988000004E-2</v>
      </c>
      <c r="K10" s="101">
        <v>0.27986762010748051</v>
      </c>
      <c r="L10" s="102">
        <v>5.0654361006932325E-2</v>
      </c>
      <c r="M10" s="18"/>
    </row>
    <row r="11" spans="1:16" ht="18" x14ac:dyDescent="0.35">
      <c r="A11" s="20">
        <v>2</v>
      </c>
      <c r="B11" s="15" t="str">
        <f>[6]Page1_1!$B$15</f>
        <v>1. Pertanian, Kehutanan dan Perikanan</v>
      </c>
      <c r="C11" s="18">
        <f>[6]Page1_1!$H$15</f>
        <v>4.2926221770000002E-2</v>
      </c>
      <c r="D11" s="18">
        <f>[6]Page1_1!$E$15/[6]Page1_1!$E$19</f>
        <v>0.23542342450115022</v>
      </c>
      <c r="E11" s="18">
        <f>[6]Page1_1!$E$15/[6]Page1_1!$C$15-1</f>
        <v>0.12392739516890461</v>
      </c>
      <c r="F11" s="19"/>
      <c r="G11" s="19"/>
      <c r="H11" s="99">
        <v>2</v>
      </c>
      <c r="I11" s="100" t="s">
        <v>104</v>
      </c>
      <c r="J11" s="101">
        <v>4.2926221770000002E-2</v>
      </c>
      <c r="K11" s="101">
        <v>0.23542342450115022</v>
      </c>
      <c r="L11" s="102">
        <v>0.12392739516890461</v>
      </c>
      <c r="M11" s="18"/>
      <c r="P11" s="15">
        <f>100-86.56</f>
        <v>13.439999999999998</v>
      </c>
    </row>
    <row r="12" spans="1:16" ht="18" x14ac:dyDescent="0.35">
      <c r="A12" s="20">
        <v>3</v>
      </c>
      <c r="B12" s="15" t="str">
        <f>[6]Page1_1!$B$16</f>
        <v>3. Industri Pengolahan</v>
      </c>
      <c r="C12" s="18">
        <f>[6]Page1_1!$H$16</f>
        <v>2.4276554685E-2</v>
      </c>
      <c r="D12" s="18">
        <f>[6]Page1_1!$E$16/[6]Page1_1!$E$19</f>
        <v>0.17322397460106032</v>
      </c>
      <c r="E12" s="18">
        <f>[6]Page1_1!$E$16/[6]Page1_1!$C$16-1</f>
        <v>2.2212816300452909E-2</v>
      </c>
      <c r="F12" s="19"/>
      <c r="G12" s="19"/>
      <c r="H12" s="99">
        <v>3</v>
      </c>
      <c r="I12" s="100" t="s">
        <v>103</v>
      </c>
      <c r="J12" s="101">
        <v>2.4276554685E-2</v>
      </c>
      <c r="K12" s="101">
        <v>0.17322397460106032</v>
      </c>
      <c r="L12" s="102">
        <v>2.2212816300452909E-2</v>
      </c>
      <c r="M12" s="18"/>
      <c r="P12" s="15">
        <v>13.44</v>
      </c>
    </row>
    <row r="13" spans="1:16" ht="18" x14ac:dyDescent="0.35">
      <c r="A13" s="20">
        <v>4</v>
      </c>
      <c r="B13" s="15" t="str">
        <f>[6]Page1_1!$B$17</f>
        <v>6. Konstruksi</v>
      </c>
      <c r="C13" s="18">
        <f>[6]Page1_1!$H$17</f>
        <v>0.121766830846</v>
      </c>
      <c r="D13" s="18">
        <f>[6]Page1_1!$E$17/[6]Page1_1!$E$19</f>
        <v>3.9959072605071172E-2</v>
      </c>
      <c r="E13" s="18">
        <f>[6]Page1_1!$E$17/[6]Page1_1!$C$17-1</f>
        <v>6.1997397349267347E-2</v>
      </c>
      <c r="F13" s="19"/>
      <c r="G13" s="19"/>
      <c r="H13" s="99">
        <v>4</v>
      </c>
      <c r="I13" s="100" t="s">
        <v>105</v>
      </c>
      <c r="J13" s="101">
        <v>0.121766830846</v>
      </c>
      <c r="K13" s="101">
        <v>3.9959072605071172E-2</v>
      </c>
      <c r="L13" s="102">
        <v>6.1997397349267347E-2</v>
      </c>
      <c r="M13" s="18"/>
    </row>
    <row r="14" spans="1:16" ht="18" x14ac:dyDescent="0.35">
      <c r="A14" s="20">
        <v>5</v>
      </c>
      <c r="B14" s="15" t="str">
        <f>[6]Page1_1!$B$18</f>
        <v>4. Pengadaan Listrik, Gas, Uap/Air Panas dan Udara Dingin</v>
      </c>
      <c r="C14" s="18">
        <f>[6]Page1_1!$H$18</f>
        <v>1.0308465E-4</v>
      </c>
      <c r="D14" s="18">
        <f>[6]Page1_1!$E$18/[6]Page1_1!$E$19</f>
        <v>2.610291422766425E-2</v>
      </c>
      <c r="E14" s="18">
        <f>[6]Page1_1!$E$18/[6]Page1_1!$C$18-1</f>
        <v>1.1071405379348107</v>
      </c>
      <c r="F14" s="19"/>
      <c r="G14" s="19"/>
      <c r="H14" s="99">
        <v>5</v>
      </c>
      <c r="I14" s="100" t="s">
        <v>106</v>
      </c>
      <c r="J14" s="101">
        <v>1.0308465E-4</v>
      </c>
      <c r="K14" s="101">
        <v>2.610291422766425E-2</v>
      </c>
      <c r="L14" s="102">
        <v>1.1071405379348107</v>
      </c>
      <c r="M14" s="18"/>
    </row>
    <row r="15" spans="1:16" ht="18" x14ac:dyDescent="0.35">
      <c r="A15" s="148" t="s">
        <v>41</v>
      </c>
      <c r="B15" s="148"/>
      <c r="C15" s="148"/>
      <c r="D15" s="148"/>
      <c r="E15" s="148"/>
      <c r="F15" s="19"/>
      <c r="G15" s="19"/>
      <c r="H15" s="142" t="s">
        <v>41</v>
      </c>
      <c r="I15" s="143"/>
      <c r="J15" s="143"/>
      <c r="K15" s="143"/>
      <c r="L15" s="144"/>
      <c r="M15" s="18"/>
    </row>
    <row r="16" spans="1:16" ht="18" x14ac:dyDescent="0.35">
      <c r="A16" s="21" t="s">
        <v>14</v>
      </c>
      <c r="B16" s="22" t="s">
        <v>30</v>
      </c>
      <c r="C16" s="22" t="s">
        <v>9</v>
      </c>
      <c r="D16" s="22" t="s">
        <v>12</v>
      </c>
      <c r="E16" s="22" t="s">
        <v>3</v>
      </c>
      <c r="F16" s="19"/>
      <c r="G16" s="19"/>
      <c r="H16" s="96" t="s">
        <v>14</v>
      </c>
      <c r="I16" s="97" t="s">
        <v>30</v>
      </c>
      <c r="J16" s="97" t="s">
        <v>9</v>
      </c>
      <c r="K16" s="97" t="s">
        <v>12</v>
      </c>
      <c r="L16" s="98" t="s">
        <v>3</v>
      </c>
      <c r="M16" s="18"/>
    </row>
    <row r="17" spans="1:13" ht="18" x14ac:dyDescent="0.35">
      <c r="A17" s="20">
        <v>1</v>
      </c>
      <c r="B17" s="15" t="str">
        <f>[6]Page1_1!$B$20</f>
        <v>3. Industri Pengolahan</v>
      </c>
      <c r="C17" s="18">
        <f>[6]Page1_1!$H$20</f>
        <v>2.9891190569999999E-3</v>
      </c>
      <c r="D17" s="18">
        <f>[6]Page1_1!$E$20/[6]Page1_1!$E$25</f>
        <v>0.35621773702477144</v>
      </c>
      <c r="E17" s="18">
        <f>[6]Page1_1!$E$20/[6]Page1_1!$C$20-1</f>
        <v>0.26351119272156009</v>
      </c>
      <c r="F17" s="19"/>
      <c r="G17" s="19"/>
      <c r="H17" s="99">
        <v>1</v>
      </c>
      <c r="I17" s="100" t="s">
        <v>103</v>
      </c>
      <c r="J17" s="101">
        <v>2.9891190569999999E-3</v>
      </c>
      <c r="K17" s="101">
        <v>0.35621773702477144</v>
      </c>
      <c r="L17" s="102">
        <v>0.26351119272156009</v>
      </c>
      <c r="M17" s="18"/>
    </row>
    <row r="18" spans="1:13" ht="18" x14ac:dyDescent="0.35">
      <c r="A18" s="20">
        <v>2</v>
      </c>
      <c r="B18" s="15" t="str">
        <f>[6]Page1_1!$B$21</f>
        <v>1. Pertanian, Kehutanan dan Perikanan</v>
      </c>
      <c r="C18" s="18">
        <f>[6]Page1_1!$H$21</f>
        <v>9.9185763760000004E-3</v>
      </c>
      <c r="D18" s="18">
        <f>[6]Page1_1!$E$21/[6]Page1_1!$E$25</f>
        <v>0.2650369426170342</v>
      </c>
      <c r="E18" s="18">
        <f>[6]Page1_1!$E$21/[6]Page1_1!$C$21-1</f>
        <v>5.2739262850347135E-2</v>
      </c>
      <c r="F18" s="19"/>
      <c r="G18" s="19"/>
      <c r="H18" s="99">
        <v>2</v>
      </c>
      <c r="I18" s="100" t="s">
        <v>104</v>
      </c>
      <c r="J18" s="101">
        <v>9.9185763760000004E-3</v>
      </c>
      <c r="K18" s="101">
        <v>0.2650369426170342</v>
      </c>
      <c r="L18" s="102">
        <v>5.2739262850347135E-2</v>
      </c>
      <c r="M18" s="18"/>
    </row>
    <row r="19" spans="1:13" ht="18" x14ac:dyDescent="0.35">
      <c r="A19" s="20">
        <v>3</v>
      </c>
      <c r="B19" s="15" t="str">
        <f>[6]Page1_1!$B$22</f>
        <v>7. Perdagangan Besar Dan Eceran; Reparasi dan Perawatan Mobil dan Sepeda Motor</v>
      </c>
      <c r="C19" s="18">
        <f>[6]Page1_1!$H$22</f>
        <v>2.1489196477000001E-2</v>
      </c>
      <c r="D19" s="18">
        <f>[6]Page1_1!$E$22/[6]Page1_1!$E$25</f>
        <v>0.12978621320595171</v>
      </c>
      <c r="E19" s="18">
        <f>[6]Page1_1!$E$22/[6]Page1_1!$C$22-1</f>
        <v>0.13864906129907206</v>
      </c>
      <c r="F19" s="19"/>
      <c r="G19" s="19"/>
      <c r="H19" s="99">
        <v>3</v>
      </c>
      <c r="I19" s="100" t="s">
        <v>124</v>
      </c>
      <c r="J19" s="101">
        <v>2.1489196477000001E-2</v>
      </c>
      <c r="K19" s="101">
        <v>0.12978621320595171</v>
      </c>
      <c r="L19" s="102">
        <v>0.13864906129907206</v>
      </c>
      <c r="M19" s="18"/>
    </row>
    <row r="20" spans="1:13" ht="18" x14ac:dyDescent="0.35">
      <c r="A20" s="20">
        <v>4</v>
      </c>
      <c r="B20" s="15" t="str">
        <f>[6]Page1_1!$B$23</f>
        <v>6. Konstruksi</v>
      </c>
      <c r="C20" s="18">
        <f>[6]Page1_1!$H$23</f>
        <v>4.3032391351000003E-2</v>
      </c>
      <c r="D20" s="18">
        <f>[6]Page1_1!$E$23/[6]Page1_1!$E$25</f>
        <v>2.3614264556863197E-2</v>
      </c>
      <c r="E20" s="18">
        <f>[6]Page1_1!$E$23/[6]Page1_1!$C$23-1</f>
        <v>0.18265533362804365</v>
      </c>
      <c r="F20" s="19"/>
      <c r="G20" s="19"/>
      <c r="H20" s="99">
        <v>4</v>
      </c>
      <c r="I20" s="100" t="s">
        <v>105</v>
      </c>
      <c r="J20" s="101">
        <v>4.3032391351000003E-2</v>
      </c>
      <c r="K20" s="101">
        <v>2.3614264556863197E-2</v>
      </c>
      <c r="L20" s="102">
        <v>0.18265533362804365</v>
      </c>
      <c r="M20" s="18"/>
    </row>
    <row r="21" spans="1:13" ht="18" x14ac:dyDescent="0.35">
      <c r="A21" s="20">
        <v>5</v>
      </c>
      <c r="B21" s="15" t="str">
        <f>[6]Page1_1!$B$24</f>
        <v>4. Pengadaan Listrik, Gas, Uap/Air Panas dan Udara Dingin</v>
      </c>
      <c r="C21" s="18">
        <f>[6]Page1_1!$H$24</f>
        <v>1.6964609900000001E-4</v>
      </c>
      <c r="D21" s="18">
        <f>[6]Page1_1!$E$24/[6]Page1_1!$E$25</f>
        <v>2.7877640292224329E-3</v>
      </c>
      <c r="E21" s="18">
        <f>[6]Page1_1!$E$24/[6]Page1_1!$C$24-1</f>
        <v>1.7572950722789966</v>
      </c>
      <c r="F21" s="19"/>
      <c r="G21" s="19"/>
      <c r="H21" s="99">
        <v>5</v>
      </c>
      <c r="I21" s="100" t="s">
        <v>106</v>
      </c>
      <c r="J21" s="101">
        <v>1.6964609900000001E-4</v>
      </c>
      <c r="K21" s="101">
        <v>2.7877640292224329E-3</v>
      </c>
      <c r="L21" s="102">
        <v>1.7572950722789966</v>
      </c>
      <c r="M21" s="18"/>
    </row>
    <row r="22" spans="1:13" ht="18" x14ac:dyDescent="0.35">
      <c r="A22" s="148" t="s">
        <v>42</v>
      </c>
      <c r="B22" s="148"/>
      <c r="C22" s="148"/>
      <c r="D22" s="148"/>
      <c r="E22" s="148"/>
      <c r="F22" s="19"/>
      <c r="G22" s="19"/>
      <c r="H22" s="142" t="s">
        <v>42</v>
      </c>
      <c r="I22" s="143"/>
      <c r="J22" s="143"/>
      <c r="K22" s="143"/>
      <c r="L22" s="144"/>
      <c r="M22" s="18"/>
    </row>
    <row r="23" spans="1:13" ht="18" x14ac:dyDescent="0.35">
      <c r="A23" s="21" t="s">
        <v>14</v>
      </c>
      <c r="B23" s="22" t="s">
        <v>30</v>
      </c>
      <c r="C23" s="22" t="s">
        <v>9</v>
      </c>
      <c r="D23" s="22" t="s">
        <v>12</v>
      </c>
      <c r="E23" s="22" t="s">
        <v>3</v>
      </c>
      <c r="F23" s="19"/>
      <c r="G23" s="19"/>
      <c r="H23" s="96" t="s">
        <v>14</v>
      </c>
      <c r="I23" s="97" t="s">
        <v>30</v>
      </c>
      <c r="J23" s="97" t="s">
        <v>9</v>
      </c>
      <c r="K23" s="97" t="s">
        <v>12</v>
      </c>
      <c r="L23" s="98" t="s">
        <v>3</v>
      </c>
      <c r="M23" s="18"/>
    </row>
    <row r="24" spans="1:13" ht="18" x14ac:dyDescent="0.35">
      <c r="A24" s="20">
        <v>1</v>
      </c>
      <c r="B24" s="15" t="str">
        <f>[6]Page1_1!$B$26</f>
        <v>7. Perdagangan Besar Dan Eceran; Reparasi dan Perawatan Mobil dan Sepeda Motor</v>
      </c>
      <c r="C24" s="18">
        <f>[6]Page1_1!$H$26</f>
        <v>5.2001828707999999E-2</v>
      </c>
      <c r="D24" s="18">
        <f>[6]Page1_1!$E$26/[6]Page1_1!$E$31</f>
        <v>0.35617298747642462</v>
      </c>
      <c r="E24" s="18">
        <f>[6]Page1_1!$E$26/[6]Page1_1!$C$26-1</f>
        <v>-4.869252659464518E-2</v>
      </c>
      <c r="F24" s="19"/>
      <c r="G24" s="19"/>
      <c r="H24" s="99">
        <v>1</v>
      </c>
      <c r="I24" s="100" t="s">
        <v>124</v>
      </c>
      <c r="J24" s="101">
        <v>5.2001828707999999E-2</v>
      </c>
      <c r="K24" s="101">
        <v>0.35617298747642462</v>
      </c>
      <c r="L24" s="102">
        <v>-4.869252659464518E-2</v>
      </c>
      <c r="M24" s="18"/>
    </row>
    <row r="25" spans="1:13" ht="18" x14ac:dyDescent="0.35">
      <c r="A25" s="20">
        <v>2</v>
      </c>
      <c r="B25" s="15" t="str">
        <f>[6]Page1_1!$B$27</f>
        <v>1. Pertanian, Kehutanan dan Perikanan</v>
      </c>
      <c r="C25" s="18">
        <f>[6]Page1_1!$H$27</f>
        <v>1.8990965410000001E-2</v>
      </c>
      <c r="D25" s="18">
        <f>[6]Page1_1!$E$27/[6]Page1_1!$E$31</f>
        <v>0.38203756577215209</v>
      </c>
      <c r="E25" s="18">
        <f>[6]Page1_1!$E$27/[6]Page1_1!$C$27-1</f>
        <v>0.32526582486126787</v>
      </c>
      <c r="F25" s="19"/>
      <c r="G25" s="19"/>
      <c r="H25" s="99">
        <v>2</v>
      </c>
      <c r="I25" s="100" t="s">
        <v>104</v>
      </c>
      <c r="J25" s="101">
        <v>1.8990965410000001E-2</v>
      </c>
      <c r="K25" s="101">
        <v>0.38203756577215209</v>
      </c>
      <c r="L25" s="102">
        <v>0.32526582486126787</v>
      </c>
      <c r="M25" s="18"/>
    </row>
    <row r="26" spans="1:13" ht="18" x14ac:dyDescent="0.35">
      <c r="A26" s="20">
        <v>3</v>
      </c>
      <c r="B26" s="15" t="str">
        <f>[6]Page1_1!$B$28</f>
        <v>3. Industri Pengolahan</v>
      </c>
      <c r="C26" s="18">
        <f>[6]Page1_1!$H$28</f>
        <v>4.7933832922E-2</v>
      </c>
      <c r="D26" s="18">
        <f>[6]Page1_1!$E$28/[6]Page1_1!$E$31</f>
        <v>8.5826866878295258E-2</v>
      </c>
      <c r="E26" s="18">
        <f>[6]Page1_1!$E$28/[6]Page1_1!$C$28-1</f>
        <v>0.12670759267247789</v>
      </c>
      <c r="F26" s="19"/>
      <c r="G26" s="19"/>
      <c r="H26" s="99">
        <v>3</v>
      </c>
      <c r="I26" s="100" t="s">
        <v>103</v>
      </c>
      <c r="J26" s="101">
        <v>4.7933832922E-2</v>
      </c>
      <c r="K26" s="101">
        <v>8.5826866878295258E-2</v>
      </c>
      <c r="L26" s="102">
        <v>0.12670759267247789</v>
      </c>
      <c r="M26" s="18"/>
    </row>
    <row r="27" spans="1:13" ht="18" x14ac:dyDescent="0.35">
      <c r="A27" s="20">
        <v>4</v>
      </c>
      <c r="B27" s="15" t="str">
        <f>[6]Page1_1!$B$29</f>
        <v>6. Konstruksi</v>
      </c>
      <c r="C27" s="18">
        <f>[6]Page1_1!$H$29</f>
        <v>0.13361358412900001</v>
      </c>
      <c r="D27" s="18">
        <f>[6]Page1_1!$E$29/[6]Page1_1!$E$31</f>
        <v>1.8502206700425662E-2</v>
      </c>
      <c r="E27" s="18">
        <f>[6]Page1_1!$E$29/[6]Page1_1!$C$29-1</f>
        <v>0.41030332354904209</v>
      </c>
      <c r="H27" s="99">
        <v>4</v>
      </c>
      <c r="I27" s="100" t="s">
        <v>105</v>
      </c>
      <c r="J27" s="101">
        <v>0.13361358412900001</v>
      </c>
      <c r="K27" s="101">
        <v>1.8502206700425662E-2</v>
      </c>
      <c r="L27" s="102">
        <v>0.41030332354904209</v>
      </c>
    </row>
    <row r="28" spans="1:13" ht="18" x14ac:dyDescent="0.35">
      <c r="A28" s="20">
        <v>5</v>
      </c>
      <c r="B28" s="15" t="str">
        <f>[6]Page1_1!$B$30</f>
        <v>4. Pengadaan Listrik, Gas, Uap/Air Panas dan Udara Dingin</v>
      </c>
      <c r="C28" s="18">
        <f>[6]Page1_1!$H$30</f>
        <v>5.6646995799999997E-4</v>
      </c>
      <c r="D28" s="18">
        <f>[6]Page1_1!$E$30/[6]Page1_1!$E$31</f>
        <v>1.310770644264239E-2</v>
      </c>
      <c r="E28" s="18">
        <f>[6]Page1_1!$E$30/[6]Page1_1!$C$30-1</f>
        <v>1.8654162713967697</v>
      </c>
      <c r="H28" s="99">
        <v>5</v>
      </c>
      <c r="I28" s="100" t="s">
        <v>106</v>
      </c>
      <c r="J28" s="101">
        <v>5.6646995799999997E-4</v>
      </c>
      <c r="K28" s="101">
        <v>1.310770644264239E-2</v>
      </c>
      <c r="L28" s="102">
        <v>1.8654162713967697</v>
      </c>
    </row>
    <row r="29" spans="1:13" ht="18" x14ac:dyDescent="0.35">
      <c r="A29" s="148" t="s">
        <v>43</v>
      </c>
      <c r="B29" s="148"/>
      <c r="C29" s="148"/>
      <c r="D29" s="148"/>
      <c r="E29" s="148"/>
      <c r="H29" s="142" t="s">
        <v>43</v>
      </c>
      <c r="I29" s="143"/>
      <c r="J29" s="143"/>
      <c r="K29" s="143"/>
      <c r="L29" s="144"/>
    </row>
    <row r="30" spans="1:13" ht="18" x14ac:dyDescent="0.35">
      <c r="A30" s="21" t="s">
        <v>14</v>
      </c>
      <c r="B30" s="22" t="s">
        <v>30</v>
      </c>
      <c r="C30" s="22" t="s">
        <v>9</v>
      </c>
      <c r="D30" s="22" t="s">
        <v>12</v>
      </c>
      <c r="E30" s="22" t="s">
        <v>3</v>
      </c>
      <c r="H30" s="96" t="s">
        <v>14</v>
      </c>
      <c r="I30" s="97" t="s">
        <v>30</v>
      </c>
      <c r="J30" s="97" t="s">
        <v>9</v>
      </c>
      <c r="K30" s="97" t="s">
        <v>12</v>
      </c>
      <c r="L30" s="98" t="s">
        <v>3</v>
      </c>
    </row>
    <row r="31" spans="1:13" ht="18" x14ac:dyDescent="0.35">
      <c r="A31" s="20">
        <v>1</v>
      </c>
      <c r="B31" s="15" t="str">
        <f>[6]Page1_1!$B$32</f>
        <v>3. Industri Pengolahan</v>
      </c>
      <c r="C31" s="18">
        <f>[6]Page1_1!$H$32</f>
        <v>9.7058935300000006E-3</v>
      </c>
      <c r="D31" s="18">
        <f>[6]Page1_1!$E$32/[6]Page1_1!$E$37</f>
        <v>0.15206557708162083</v>
      </c>
      <c r="E31" s="18">
        <f>[6]Page1_1!$E$32/[6]Page1_1!$C$32-1</f>
        <v>5.2564922580712103E-2</v>
      </c>
      <c r="H31" s="99">
        <v>1</v>
      </c>
      <c r="I31" s="100" t="s">
        <v>103</v>
      </c>
      <c r="J31" s="101">
        <v>9.7058935300000006E-3</v>
      </c>
      <c r="K31" s="101">
        <v>0.15206557708162083</v>
      </c>
      <c r="L31" s="102">
        <v>5.2564922580712103E-2</v>
      </c>
    </row>
    <row r="32" spans="1:13" ht="18" x14ac:dyDescent="0.35">
      <c r="A32" s="20">
        <v>2</v>
      </c>
      <c r="B32" s="15" t="str">
        <f>[6]Page1_1!$B$33</f>
        <v>4. Pengadaan Listrik, Gas, Uap/Air Panas dan Udara Dingin</v>
      </c>
      <c r="C32" s="18">
        <f>[6]Page1_1!$H$33</f>
        <v>6.16337700178574E-6</v>
      </c>
      <c r="D32" s="18">
        <f>[6]Page1_1!$E$33/[6]Page1_1!$E$37</f>
        <v>0.18815907457672654</v>
      </c>
      <c r="E32" s="18">
        <f>[6]Page1_1!$E$33/[6]Page1_1!$C$33-1</f>
        <v>0.78474016656758461</v>
      </c>
      <c r="H32" s="99">
        <v>2</v>
      </c>
      <c r="I32" s="100" t="s">
        <v>106</v>
      </c>
      <c r="J32" s="101">
        <v>6.16337700178574E-6</v>
      </c>
      <c r="K32" s="101">
        <v>0.18815907457672654</v>
      </c>
      <c r="L32" s="102">
        <v>0.78474016656758461</v>
      </c>
    </row>
    <row r="33" spans="1:12" ht="18" x14ac:dyDescent="0.35">
      <c r="A33" s="20">
        <v>3</v>
      </c>
      <c r="B33" s="15" t="str">
        <f>[6]Page1_1!$B$34</f>
        <v>6. Konstruksi</v>
      </c>
      <c r="C33" s="18">
        <f>[6]Page1_1!$H$34</f>
        <v>1.6078341254000001E-2</v>
      </c>
      <c r="D33" s="18">
        <f>[6]Page1_1!$E$34/[6]Page1_1!$E$37</f>
        <v>0.12932818268677215</v>
      </c>
      <c r="E33" s="18">
        <f>[6]Page1_1!$E$34/[6]Page1_1!$C$34-1</f>
        <v>3.3972688162221729</v>
      </c>
      <c r="H33" s="99">
        <v>3</v>
      </c>
      <c r="I33" s="100" t="s">
        <v>105</v>
      </c>
      <c r="J33" s="101">
        <v>1.6078341254000001E-2</v>
      </c>
      <c r="K33" s="101">
        <v>0.12932818268677215</v>
      </c>
      <c r="L33" s="102">
        <v>3.3972688162221729</v>
      </c>
    </row>
    <row r="34" spans="1:12" ht="18" x14ac:dyDescent="0.35">
      <c r="A34" s="20">
        <v>4</v>
      </c>
      <c r="B34" s="15" t="str">
        <f>[6]Page1_1!$B$35</f>
        <v>7. Perdagangan Besar Dan Eceran; Reparasi dan Perawatan Mobil dan Sepeda Motor</v>
      </c>
      <c r="C34" s="18">
        <f>[6]Page1_1!$H$35</f>
        <v>1.8499025523999998E-2</v>
      </c>
      <c r="D34" s="18">
        <f>[6]Page1_1!$E$35/[6]Page1_1!$E$37</f>
        <v>9.5501692847277345E-2</v>
      </c>
      <c r="E34" s="18">
        <f>[6]Page1_1!$E$35/[6]Page1_1!$C$35-1</f>
        <v>1.171897212815054E-2</v>
      </c>
      <c r="H34" s="99">
        <v>4</v>
      </c>
      <c r="I34" s="100" t="s">
        <v>124</v>
      </c>
      <c r="J34" s="101">
        <v>1.8499025523999998E-2</v>
      </c>
      <c r="K34" s="101">
        <v>9.5501692847277345E-2</v>
      </c>
      <c r="L34" s="102">
        <v>1.171897212815054E-2</v>
      </c>
    </row>
    <row r="35" spans="1:12" ht="18.600000000000001" thickBot="1" x14ac:dyDescent="0.4">
      <c r="A35" s="20">
        <v>5</v>
      </c>
      <c r="B35" s="15" t="str">
        <f>[6]Page1_1!$B$36</f>
        <v>1. Pertanian, Kehutanan dan Perikanan</v>
      </c>
      <c r="C35" s="18">
        <f>[6]Page1_1!$H$36</f>
        <v>1.2271685458E-2</v>
      </c>
      <c r="D35" s="18">
        <f>[6]Page1_1!$E$36/[6]Page1_1!$E$37</f>
        <v>2.6510065230910214E-2</v>
      </c>
      <c r="E35" s="18">
        <f>[6]Page1_1!$E$36/[6]Page1_1!$C$36-1</f>
        <v>-0.18070151825225689</v>
      </c>
      <c r="H35" s="103">
        <v>5</v>
      </c>
      <c r="I35" s="100" t="s">
        <v>104</v>
      </c>
      <c r="J35" s="104">
        <v>1.2271685458E-2</v>
      </c>
      <c r="K35" s="104">
        <v>2.6510065230910214E-2</v>
      </c>
      <c r="L35" s="105">
        <v>-0.18070151825225689</v>
      </c>
    </row>
    <row r="36" spans="1:12" x14ac:dyDescent="0.25">
      <c r="C36" s="18"/>
      <c r="D36" s="18"/>
      <c r="E36" s="18"/>
    </row>
    <row r="37" spans="1:12" x14ac:dyDescent="0.25">
      <c r="C37" s="18"/>
      <c r="D37" s="18"/>
      <c r="E37" s="18"/>
    </row>
    <row r="38" spans="1:12" x14ac:dyDescent="0.25">
      <c r="C38" s="18"/>
      <c r="D38" s="18"/>
      <c r="E38" s="18"/>
    </row>
    <row r="39" spans="1:12" x14ac:dyDescent="0.25">
      <c r="C39" s="18"/>
      <c r="D39" s="18"/>
      <c r="E39" s="18"/>
    </row>
    <row r="40" spans="1:12" x14ac:dyDescent="0.25">
      <c r="C40" s="18"/>
      <c r="D40" s="18"/>
      <c r="E40" s="18"/>
    </row>
    <row r="41" spans="1:12" x14ac:dyDescent="0.25">
      <c r="C41" s="18"/>
      <c r="D41" s="18"/>
      <c r="E41" s="18"/>
    </row>
    <row r="42" spans="1:12" x14ac:dyDescent="0.25">
      <c r="C42" s="18"/>
      <c r="D42" s="18"/>
      <c r="E42" s="18"/>
    </row>
    <row r="43" spans="1:12" x14ac:dyDescent="0.25">
      <c r="C43" s="18"/>
      <c r="D43" s="18"/>
      <c r="E43" s="18"/>
    </row>
    <row r="44" spans="1:12" x14ac:dyDescent="0.25">
      <c r="C44" s="18"/>
      <c r="D44" s="18"/>
      <c r="E44" s="18"/>
    </row>
    <row r="45" spans="1:12" x14ac:dyDescent="0.25">
      <c r="C45" s="18"/>
      <c r="D45" s="18"/>
      <c r="E45" s="18"/>
    </row>
    <row r="46" spans="1:12" x14ac:dyDescent="0.25">
      <c r="C46" s="18"/>
      <c r="D46" s="18"/>
      <c r="E46" s="18"/>
    </row>
    <row r="47" spans="1:12" x14ac:dyDescent="0.25">
      <c r="C47" s="18"/>
      <c r="D47" s="18"/>
      <c r="E47" s="18"/>
    </row>
    <row r="48" spans="1:12" x14ac:dyDescent="0.25">
      <c r="C48" s="18"/>
      <c r="D48" s="18"/>
      <c r="E48" s="18"/>
    </row>
  </sheetData>
  <mergeCells count="10">
    <mergeCell ref="A1:E1"/>
    <mergeCell ref="A8:E8"/>
    <mergeCell ref="A15:E15"/>
    <mergeCell ref="A22:E22"/>
    <mergeCell ref="A29:E29"/>
    <mergeCell ref="H8:L8"/>
    <mergeCell ref="H15:L15"/>
    <mergeCell ref="H22:L22"/>
    <mergeCell ref="H29:L29"/>
    <mergeCell ref="H1:L1"/>
  </mergeCells>
  <conditionalFormatting sqref="E3:E7">
    <cfRule type="dataBar" priority="1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{B77049B1-5DBA-44A1-8BFD-9EC0D3687E60}</x14:id>
        </ext>
      </extLst>
    </cfRule>
  </conditionalFormatting>
  <conditionalFormatting sqref="L3:L7">
    <cfRule type="dataBar" priority="9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{037FBF2A-68F3-4136-B8B7-B71445F434C1}</x14:id>
        </ext>
      </extLst>
    </cfRule>
  </conditionalFormatting>
  <conditionalFormatting sqref="L10:L14">
    <cfRule type="dataBar" priority="8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{A9FD3351-F990-4D7C-BA4E-41E5F55E98FB}</x14:id>
        </ext>
      </extLst>
    </cfRule>
  </conditionalFormatting>
  <conditionalFormatting sqref="L17:L21">
    <cfRule type="dataBar" priority="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{0372CD0B-6AA1-46C7-90BB-4CBAE25B2096}</x14:id>
        </ext>
      </extLst>
    </cfRule>
  </conditionalFormatting>
  <conditionalFormatting sqref="L24:L28">
    <cfRule type="dataBar" priority="6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{48A08250-5783-4806-9DBB-7DB2113E0955}</x14:id>
        </ext>
      </extLst>
    </cfRule>
  </conditionalFormatting>
  <conditionalFormatting sqref="L31:L35">
    <cfRule type="dataBar" priority="5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{6D9BE5F8-E0AB-45E8-AD6D-9A246AD6EEAF}</x14:id>
        </ext>
      </extLst>
    </cfRule>
  </conditionalFormatting>
  <conditionalFormatting sqref="E10:E14">
    <cfRule type="dataBar" priority="4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{0F29E070-0207-4A9F-AA68-58D5BBC50AC4}</x14:id>
        </ext>
      </extLst>
    </cfRule>
  </conditionalFormatting>
  <conditionalFormatting sqref="E17:E21">
    <cfRule type="dataBar" priority="3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{3AD4E13C-9792-4F06-9E66-7FDA8F3C558D}</x14:id>
        </ext>
      </extLst>
    </cfRule>
  </conditionalFormatting>
  <conditionalFormatting sqref="E24:E28">
    <cfRule type="dataBar" priority="2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{0DCA932B-AA63-465B-AC70-58790D1606BC}</x14:id>
        </ext>
      </extLst>
    </cfRule>
  </conditionalFormatting>
  <conditionalFormatting sqref="E31:E35">
    <cfRule type="dataBar" priority="1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{9B428FF7-CEFF-4484-8900-AB9B8D726CDB}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77049B1-5DBA-44A1-8BFD-9EC0D3687E60}">
            <x14:dataBar minLength="0" maxLength="100" gradient="0">
              <x14:cfvo type="autoMin"/>
              <x14:cfvo type="autoMax"/>
              <x14:negativeFillColor rgb="FFFF6600"/>
              <x14:axisColor rgb="FF000000"/>
            </x14:dataBar>
          </x14:cfRule>
          <xm:sqref>E3:E7</xm:sqref>
        </x14:conditionalFormatting>
        <x14:conditionalFormatting xmlns:xm="http://schemas.microsoft.com/office/excel/2006/main">
          <x14:cfRule type="dataBar" id="{037FBF2A-68F3-4136-B8B7-B71445F434C1}">
            <x14:dataBar minLength="0" maxLength="100" gradient="0">
              <x14:cfvo type="autoMin"/>
              <x14:cfvo type="autoMax"/>
              <x14:negativeFillColor rgb="FFFF6600"/>
              <x14:axisColor rgb="FF000000"/>
            </x14:dataBar>
          </x14:cfRule>
          <xm:sqref>L3:L7</xm:sqref>
        </x14:conditionalFormatting>
        <x14:conditionalFormatting xmlns:xm="http://schemas.microsoft.com/office/excel/2006/main">
          <x14:cfRule type="dataBar" id="{A9FD3351-F990-4D7C-BA4E-41E5F55E98FB}">
            <x14:dataBar minLength="0" maxLength="100" gradient="0">
              <x14:cfvo type="autoMin"/>
              <x14:cfvo type="autoMax"/>
              <x14:negativeFillColor rgb="FFFF6600"/>
              <x14:axisColor rgb="FF000000"/>
            </x14:dataBar>
          </x14:cfRule>
          <xm:sqref>L10:L14</xm:sqref>
        </x14:conditionalFormatting>
        <x14:conditionalFormatting xmlns:xm="http://schemas.microsoft.com/office/excel/2006/main">
          <x14:cfRule type="dataBar" id="{0372CD0B-6AA1-46C7-90BB-4CBAE25B2096}">
            <x14:dataBar minLength="0" maxLength="100" gradient="0">
              <x14:cfvo type="autoMin"/>
              <x14:cfvo type="autoMax"/>
              <x14:negativeFillColor rgb="FFFF6600"/>
              <x14:axisColor rgb="FF000000"/>
            </x14:dataBar>
          </x14:cfRule>
          <xm:sqref>L17:L21</xm:sqref>
        </x14:conditionalFormatting>
        <x14:conditionalFormatting xmlns:xm="http://schemas.microsoft.com/office/excel/2006/main">
          <x14:cfRule type="dataBar" id="{48A08250-5783-4806-9DBB-7DB2113E0955}">
            <x14:dataBar minLength="0" maxLength="100" gradient="0">
              <x14:cfvo type="autoMin"/>
              <x14:cfvo type="autoMax"/>
              <x14:negativeFillColor rgb="FFFF6600"/>
              <x14:axisColor rgb="FF000000"/>
            </x14:dataBar>
          </x14:cfRule>
          <xm:sqref>L24:L28</xm:sqref>
        </x14:conditionalFormatting>
        <x14:conditionalFormatting xmlns:xm="http://schemas.microsoft.com/office/excel/2006/main">
          <x14:cfRule type="dataBar" id="{6D9BE5F8-E0AB-45E8-AD6D-9A246AD6EEAF}">
            <x14:dataBar minLength="0" maxLength="100" gradient="0">
              <x14:cfvo type="autoMin"/>
              <x14:cfvo type="autoMax"/>
              <x14:negativeFillColor rgb="FFFF6600"/>
              <x14:axisColor rgb="FF000000"/>
            </x14:dataBar>
          </x14:cfRule>
          <xm:sqref>L31:L35</xm:sqref>
        </x14:conditionalFormatting>
        <x14:conditionalFormatting xmlns:xm="http://schemas.microsoft.com/office/excel/2006/main">
          <x14:cfRule type="dataBar" id="{0F29E070-0207-4A9F-AA68-58D5BBC50AC4}">
            <x14:dataBar minLength="0" maxLength="100" gradient="0">
              <x14:cfvo type="autoMin"/>
              <x14:cfvo type="autoMax"/>
              <x14:negativeFillColor rgb="FFFF6600"/>
              <x14:axisColor rgb="FF000000"/>
            </x14:dataBar>
          </x14:cfRule>
          <xm:sqref>E10:E14</xm:sqref>
        </x14:conditionalFormatting>
        <x14:conditionalFormatting xmlns:xm="http://schemas.microsoft.com/office/excel/2006/main">
          <x14:cfRule type="dataBar" id="{3AD4E13C-9792-4F06-9E66-7FDA8F3C558D}">
            <x14:dataBar minLength="0" maxLength="100" gradient="0">
              <x14:cfvo type="autoMin"/>
              <x14:cfvo type="autoMax"/>
              <x14:negativeFillColor rgb="FFFF6600"/>
              <x14:axisColor rgb="FF000000"/>
            </x14:dataBar>
          </x14:cfRule>
          <xm:sqref>E17:E21</xm:sqref>
        </x14:conditionalFormatting>
        <x14:conditionalFormatting xmlns:xm="http://schemas.microsoft.com/office/excel/2006/main">
          <x14:cfRule type="dataBar" id="{0DCA932B-AA63-465B-AC70-58790D1606BC}">
            <x14:dataBar minLength="0" maxLength="100" gradient="0">
              <x14:cfvo type="autoMin"/>
              <x14:cfvo type="autoMax"/>
              <x14:negativeFillColor rgb="FFFF6600"/>
              <x14:axisColor rgb="FF000000"/>
            </x14:dataBar>
          </x14:cfRule>
          <xm:sqref>E24:E28</xm:sqref>
        </x14:conditionalFormatting>
        <x14:conditionalFormatting xmlns:xm="http://schemas.microsoft.com/office/excel/2006/main">
          <x14:cfRule type="dataBar" id="{9B428FF7-CEFF-4484-8900-AB9B8D726CDB}">
            <x14:dataBar minLength="0" maxLength="100" gradient="0">
              <x14:cfvo type="autoMin"/>
              <x14:cfvo type="autoMax"/>
              <x14:negativeFillColor rgb="FFFF6600"/>
              <x14:axisColor rgb="FF000000"/>
            </x14:dataBar>
          </x14:cfRule>
          <xm:sqref>E31:E35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BEE9CA-1ED9-4CE9-BA13-3602ACDB0A6E}">
  <sheetPr codeName="Sheet5"/>
  <dimension ref="A1:AM56"/>
  <sheetViews>
    <sheetView showGridLines="0" topLeftCell="A40" zoomScale="85" zoomScaleNormal="85" workbookViewId="0">
      <selection activeCell="A9" sqref="A9"/>
    </sheetView>
  </sheetViews>
  <sheetFormatPr defaultRowHeight="14.4" x14ac:dyDescent="0.3"/>
  <cols>
    <col min="1" max="1" width="8.77734375" customWidth="1"/>
    <col min="2" max="2" width="12.77734375" hidden="1" customWidth="1"/>
    <col min="3" max="3" width="8.44140625" bestFit="1" customWidth="1"/>
    <col min="4" max="4" width="8.21875" bestFit="1" customWidth="1"/>
    <col min="5" max="5" width="8.44140625" bestFit="1" customWidth="1"/>
    <col min="6" max="6" width="9.77734375" customWidth="1"/>
    <col min="7" max="7" width="0.33203125" customWidth="1"/>
    <col min="8" max="8" width="9" customWidth="1"/>
    <col min="9" max="9" width="8.21875" hidden="1" customWidth="1"/>
    <col min="10" max="10" width="8.44140625" bestFit="1" customWidth="1"/>
    <col min="11" max="11" width="8.21875" bestFit="1" customWidth="1"/>
    <col min="12" max="12" width="8.44140625" bestFit="1" customWidth="1"/>
    <col min="13" max="13" width="8.44140625" customWidth="1"/>
    <col min="14" max="14" width="0.33203125" customWidth="1"/>
    <col min="15" max="15" width="10.21875" customWidth="1"/>
    <col min="16" max="16" width="8.21875" hidden="1" customWidth="1"/>
    <col min="17" max="17" width="8.44140625" bestFit="1" customWidth="1"/>
    <col min="18" max="18" width="8.21875" bestFit="1" customWidth="1"/>
    <col min="19" max="19" width="8.44140625" bestFit="1" customWidth="1"/>
    <col min="20" max="20" width="11.77734375" customWidth="1"/>
    <col min="21" max="21" width="0.33203125" customWidth="1"/>
    <col min="22" max="22" width="9.33203125" customWidth="1"/>
    <col min="23" max="23" width="8.21875" hidden="1" customWidth="1"/>
    <col min="24" max="24" width="8.44140625" bestFit="1" customWidth="1"/>
    <col min="25" max="25" width="8.21875" bestFit="1" customWidth="1"/>
    <col min="26" max="26" width="8.44140625" bestFit="1" customWidth="1"/>
    <col min="27" max="27" width="9.21875" bestFit="1" customWidth="1"/>
    <col min="28" max="28" width="0.33203125" customWidth="1"/>
    <col min="29" max="29" width="10" customWidth="1"/>
    <col min="30" max="30" width="8.21875" hidden="1" customWidth="1"/>
    <col min="31" max="31" width="8.44140625" bestFit="1" customWidth="1"/>
    <col min="32" max="32" width="8.21875" bestFit="1" customWidth="1"/>
    <col min="33" max="33" width="8.44140625" bestFit="1" customWidth="1"/>
    <col min="34" max="34" width="8.77734375" customWidth="1"/>
    <col min="36" max="38" width="9.6640625" bestFit="1" customWidth="1"/>
  </cols>
  <sheetData>
    <row r="1" spans="1:34" x14ac:dyDescent="0.3">
      <c r="A1" s="134" t="s">
        <v>49</v>
      </c>
      <c r="B1" s="134"/>
      <c r="C1" s="134"/>
      <c r="D1" s="134"/>
      <c r="E1" s="134"/>
      <c r="F1" s="134"/>
      <c r="H1" s="134" t="s">
        <v>50</v>
      </c>
      <c r="I1" s="134"/>
      <c r="J1" s="134"/>
      <c r="K1" s="134"/>
      <c r="L1" s="134"/>
      <c r="M1" s="134"/>
      <c r="O1" s="134" t="s">
        <v>44</v>
      </c>
      <c r="P1" s="134"/>
      <c r="Q1" s="134"/>
      <c r="R1" s="134"/>
      <c r="S1" s="134"/>
      <c r="T1" s="134"/>
      <c r="U1" s="15"/>
      <c r="V1" s="134" t="s">
        <v>45</v>
      </c>
      <c r="W1" s="134"/>
      <c r="X1" s="134"/>
      <c r="Y1" s="134"/>
      <c r="Z1" s="134"/>
      <c r="AA1" s="134"/>
      <c r="AB1" s="15"/>
      <c r="AC1" s="134" t="s">
        <v>46</v>
      </c>
      <c r="AD1" s="134"/>
      <c r="AE1" s="134"/>
      <c r="AF1" s="134"/>
      <c r="AG1" s="134"/>
      <c r="AH1" s="134"/>
    </row>
    <row r="2" spans="1:34" x14ac:dyDescent="0.3">
      <c r="A2" s="135"/>
      <c r="B2" s="46"/>
      <c r="C2" s="138" t="s">
        <v>1</v>
      </c>
      <c r="D2" s="139"/>
      <c r="E2" s="140"/>
      <c r="F2" s="137" t="s">
        <v>3</v>
      </c>
      <c r="H2" s="135"/>
      <c r="I2" s="46"/>
      <c r="J2" s="137" t="s">
        <v>1</v>
      </c>
      <c r="K2" s="137"/>
      <c r="L2" s="137"/>
      <c r="M2" s="137" t="s">
        <v>3</v>
      </c>
      <c r="O2" s="135"/>
      <c r="P2" s="46"/>
      <c r="Q2" s="137" t="s">
        <v>1</v>
      </c>
      <c r="R2" s="137"/>
      <c r="S2" s="137"/>
      <c r="T2" s="137" t="s">
        <v>3</v>
      </c>
      <c r="V2" s="135"/>
      <c r="W2" s="46"/>
      <c r="X2" s="137" t="s">
        <v>1</v>
      </c>
      <c r="Y2" s="137"/>
      <c r="Z2" s="137"/>
      <c r="AA2" s="137" t="s">
        <v>3</v>
      </c>
      <c r="AC2" s="135"/>
      <c r="AD2" s="46"/>
      <c r="AE2" s="137" t="s">
        <v>1</v>
      </c>
      <c r="AF2" s="137"/>
      <c r="AG2" s="137"/>
      <c r="AH2" s="137" t="s">
        <v>3</v>
      </c>
    </row>
    <row r="3" spans="1:34" x14ac:dyDescent="0.3">
      <c r="A3" s="136"/>
      <c r="B3" s="47"/>
      <c r="C3" s="9">
        <v>45597</v>
      </c>
      <c r="D3" s="9"/>
      <c r="E3" s="9">
        <v>45962</v>
      </c>
      <c r="F3" s="137"/>
      <c r="H3" s="136"/>
      <c r="I3" s="47"/>
      <c r="J3" s="9">
        <v>45566</v>
      </c>
      <c r="K3" s="9"/>
      <c r="L3" s="9">
        <v>45931</v>
      </c>
      <c r="M3" s="137"/>
      <c r="O3" s="136"/>
      <c r="P3" s="47"/>
      <c r="Q3" s="9">
        <v>45566</v>
      </c>
      <c r="R3" s="9"/>
      <c r="S3" s="9">
        <v>45931</v>
      </c>
      <c r="T3" s="137"/>
      <c r="V3" s="136"/>
      <c r="W3" s="47"/>
      <c r="X3" s="9">
        <f>Q3</f>
        <v>45566</v>
      </c>
      <c r="Y3" s="9"/>
      <c r="Z3" s="9">
        <f>S3</f>
        <v>45931</v>
      </c>
      <c r="AA3" s="137"/>
      <c r="AC3" s="136"/>
      <c r="AD3" s="47"/>
      <c r="AE3" s="9">
        <f>X3</f>
        <v>45566</v>
      </c>
      <c r="AF3" s="9"/>
      <c r="AG3" s="9">
        <f>Z3</f>
        <v>45931</v>
      </c>
      <c r="AH3" s="137"/>
    </row>
    <row r="4" spans="1:34" x14ac:dyDescent="0.3">
      <c r="A4" s="1" t="s">
        <v>6</v>
      </c>
      <c r="B4" s="1"/>
      <c r="C4" s="3">
        <f>[7]Page1_1!$K$6/1000000000</f>
        <v>45069.260706697001</v>
      </c>
      <c r="D4" s="3"/>
      <c r="E4" s="3">
        <f>[7]Page1_1!$Z$6/1000000000</f>
        <v>50062.343232263003</v>
      </c>
      <c r="F4" s="25">
        <f>E4/C4-1</f>
        <v>0.11078687440781709</v>
      </c>
      <c r="H4" s="1" t="s">
        <v>6</v>
      </c>
      <c r="I4" s="1"/>
      <c r="J4" s="3">
        <f>[7]Page1_1!$K$7/1000000000</f>
        <v>15847.677711666</v>
      </c>
      <c r="K4" s="3"/>
      <c r="L4" s="3">
        <f>[7]Page1_1!$Z$7/1000000000</f>
        <v>16605.818276845999</v>
      </c>
      <c r="M4" s="25">
        <f>L4/J4-1</f>
        <v>4.7839221554960565E-2</v>
      </c>
      <c r="O4" s="1" t="s">
        <v>6</v>
      </c>
      <c r="P4" s="1"/>
      <c r="Q4" s="3">
        <f>[7]Page1_1!$K$10/1000000000</f>
        <v>31805.600348610002</v>
      </c>
      <c r="R4" s="3"/>
      <c r="S4" s="3">
        <f>[7]Page1_1!$Z$10/1000000000</f>
        <v>30216.490331801</v>
      </c>
      <c r="T4" s="25">
        <f>S4/Q4-1</f>
        <v>-4.9963214006065737E-2</v>
      </c>
      <c r="V4" s="1" t="s">
        <v>6</v>
      </c>
      <c r="W4" s="1"/>
      <c r="X4" s="3">
        <f>[7]Page1_1!$K$9/1000000000</f>
        <v>32834.991577941997</v>
      </c>
      <c r="Y4" s="3"/>
      <c r="Z4" s="3">
        <f>[7]Page1_1!$Z$9/1000000000</f>
        <v>31367.764270511001</v>
      </c>
      <c r="AA4" s="25">
        <f>Z4/X4-1</f>
        <v>-4.4684869309260189E-2</v>
      </c>
      <c r="AC4" s="1" t="s">
        <v>6</v>
      </c>
      <c r="AD4" s="1"/>
      <c r="AE4" s="3">
        <f>[7]Page1_1!$K$8/1000000000</f>
        <v>34171.525238287002</v>
      </c>
      <c r="AF4" s="3"/>
      <c r="AG4" s="3">
        <f>[7]Page1_1!$Z$8/1000000000</f>
        <v>34215.549812650999</v>
      </c>
      <c r="AH4" s="25">
        <f>AG4/AE4-1</f>
        <v>1.28834092294694E-3</v>
      </c>
    </row>
    <row r="5" spans="1:34" x14ac:dyDescent="0.3">
      <c r="A5" s="1" t="s">
        <v>7</v>
      </c>
      <c r="B5" s="1"/>
      <c r="C5" s="3">
        <f>[8]Page1_1!$C$7/1000000000</f>
        <v>36616.248085168998</v>
      </c>
      <c r="D5" s="3"/>
      <c r="E5" s="3">
        <f>[8]Page1_1!$E$7/1000000000</f>
        <v>41107.479667154003</v>
      </c>
      <c r="F5" s="25">
        <f>E5/C5-1</f>
        <v>0.12265679355073322</v>
      </c>
      <c r="H5" s="1" t="s">
        <v>7</v>
      </c>
      <c r="I5" s="1"/>
      <c r="J5" s="3">
        <f>[8]Page1_1!$C$8/1000000000</f>
        <v>10481.202039436001</v>
      </c>
      <c r="K5" s="3"/>
      <c r="L5" s="3">
        <f>[8]Page1_1!$E$8/1000000000</f>
        <v>10912.671023098001</v>
      </c>
      <c r="M5" s="25">
        <f>L5/J5-1</f>
        <v>4.1165982874729279E-2</v>
      </c>
      <c r="O5" s="1" t="s">
        <v>7</v>
      </c>
      <c r="P5" s="1"/>
      <c r="Q5" s="3">
        <f>[8]Page1_1!$C$11/1000000000</f>
        <v>27042.851927045002</v>
      </c>
      <c r="R5" s="3"/>
      <c r="S5" s="3">
        <f>[8]Page1_1!$E$11/1000000000</f>
        <v>25397.793349007999</v>
      </c>
      <c r="T5" s="25">
        <f>S5/Q5-1</f>
        <v>-6.0831549219548586E-2</v>
      </c>
      <c r="V5" s="1" t="s">
        <v>7</v>
      </c>
      <c r="W5" s="1"/>
      <c r="X5" s="3">
        <f>[8]Page1_1!$C$10/1000000000</f>
        <v>28346.307453951002</v>
      </c>
      <c r="Y5" s="3"/>
      <c r="Z5" s="3">
        <f>[8]Page1_1!$E$10/1000000000</f>
        <v>26820.001778951999</v>
      </c>
      <c r="AA5" s="25">
        <f>Z5/X5-1</f>
        <v>-5.3844955907520253E-2</v>
      </c>
      <c r="AC5" s="1" t="s">
        <v>7</v>
      </c>
      <c r="AD5" s="1"/>
      <c r="AE5" s="3">
        <f>[8]Page1_1!$C$9/1000000000</f>
        <v>27795.822894090001</v>
      </c>
      <c r="AF5" s="3"/>
      <c r="AG5" s="3">
        <f>[8]Page1_1!$E$9/1000000000</f>
        <v>27262.535556620001</v>
      </c>
      <c r="AH5" s="25">
        <f>AG5/AE5-1</f>
        <v>-1.9185880536869759E-2</v>
      </c>
    </row>
    <row r="6" spans="1:34" x14ac:dyDescent="0.3">
      <c r="A6" s="1" t="s">
        <v>8</v>
      </c>
      <c r="B6" s="1"/>
      <c r="C6" s="3">
        <f>[9]Page1_1!$C$10/1000000000</f>
        <v>31045.481638013</v>
      </c>
      <c r="D6" s="3"/>
      <c r="E6" s="3">
        <f>[9]Page1_1!$E$10/1000000000</f>
        <v>32370.278123149001</v>
      </c>
      <c r="F6" s="25">
        <f>E6/C6-1</f>
        <v>4.2672763160288119E-2</v>
      </c>
      <c r="H6" s="1" t="s">
        <v>8</v>
      </c>
      <c r="I6" s="1"/>
      <c r="J6" s="3">
        <f>[9]Page1_1!$C$16/1000000000</f>
        <v>10431.504044018</v>
      </c>
      <c r="K6" s="3"/>
      <c r="L6" s="3">
        <f>[9]Page1_1!$E$16/1000000000</f>
        <v>10857.38285487</v>
      </c>
      <c r="M6" s="25">
        <f>L6/J6-1</f>
        <v>4.0826213464032701E-2</v>
      </c>
      <c r="O6" s="1" t="s">
        <v>8</v>
      </c>
      <c r="P6" s="1"/>
      <c r="Q6" s="3">
        <f>[9]Page1_1!$C$34/1000000000</f>
        <v>20405.355946176001</v>
      </c>
      <c r="R6" s="3"/>
      <c r="S6" s="3">
        <f>[9]Page1_1!$E$34/1000000000</f>
        <v>21109.164812268002</v>
      </c>
      <c r="T6" s="25">
        <f>S6/Q6-1</f>
        <v>3.449137902560806E-2</v>
      </c>
      <c r="V6" s="1" t="s">
        <v>8</v>
      </c>
      <c r="W6" s="1"/>
      <c r="X6" s="3">
        <f>[9]Page1_1!$C$28/1000000000</f>
        <v>21357.082402435</v>
      </c>
      <c r="Y6" s="3"/>
      <c r="Z6" s="3">
        <f>[9]Page1_1!$E$28/1000000000</f>
        <v>21691.051757951001</v>
      </c>
      <c r="AA6" s="25">
        <f>Z6/X6-1</f>
        <v>1.5637405391942583E-2</v>
      </c>
      <c r="AC6" s="1" t="s">
        <v>8</v>
      </c>
      <c r="AD6" s="1"/>
      <c r="AE6" s="3">
        <f>[9]Page1_1!$C$22/1000000000</f>
        <v>25362.837536817002</v>
      </c>
      <c r="AF6" s="3"/>
      <c r="AG6" s="3">
        <f>[9]Page1_1!$E$22/1000000000</f>
        <v>25400.718121934999</v>
      </c>
      <c r="AH6" s="25">
        <f>AG6/AE6-1</f>
        <v>1.4935468108805416E-3</v>
      </c>
    </row>
    <row r="7" spans="1:34" x14ac:dyDescent="0.3">
      <c r="A7" s="1" t="s">
        <v>22</v>
      </c>
      <c r="B7" s="1"/>
      <c r="C7" s="4">
        <v>0.23710000000000001</v>
      </c>
      <c r="D7" s="4"/>
      <c r="E7" s="4">
        <v>0.22539999999999999</v>
      </c>
      <c r="F7" s="28">
        <f>(E7-C7)*10000</f>
        <v>-117.00000000000016</v>
      </c>
      <c r="H7" s="1" t="s">
        <v>22</v>
      </c>
      <c r="I7" s="1"/>
      <c r="J7" s="4"/>
      <c r="K7" s="4"/>
      <c r="L7" s="4"/>
      <c r="M7" s="28">
        <f>(L7-J7)*10000</f>
        <v>0</v>
      </c>
      <c r="O7" s="1" t="s">
        <v>22</v>
      </c>
      <c r="P7" s="1"/>
      <c r="Q7" s="4">
        <v>0.2099</v>
      </c>
      <c r="R7" s="4"/>
      <c r="S7" s="4">
        <v>0.2041</v>
      </c>
      <c r="T7" s="28">
        <f>(S7-Q7)*10000</f>
        <v>-57.999999999999993</v>
      </c>
      <c r="V7" s="1" t="s">
        <v>22</v>
      </c>
      <c r="W7" s="1"/>
      <c r="X7" s="4"/>
      <c r="Y7" s="4"/>
      <c r="Z7" s="4"/>
      <c r="AA7" s="28">
        <f>(Z7-X7)*10000</f>
        <v>0</v>
      </c>
      <c r="AC7" s="1" t="s">
        <v>22</v>
      </c>
      <c r="AD7" s="1"/>
      <c r="AE7" s="4"/>
      <c r="AF7" s="4"/>
      <c r="AG7" s="4"/>
      <c r="AH7" s="28">
        <f>(AG7-AE7)*10000</f>
        <v>0</v>
      </c>
    </row>
    <row r="8" spans="1:34" x14ac:dyDescent="0.3">
      <c r="A8" s="1" t="s">
        <v>9</v>
      </c>
      <c r="B8" s="1"/>
      <c r="C8" s="4">
        <f>[10]Page1_1!$C$11</f>
        <v>2.3358761275000001E-2</v>
      </c>
      <c r="D8" s="4"/>
      <c r="E8" s="4">
        <f>[10]Page1_1!$E$11</f>
        <v>2.7554837985999999E-2</v>
      </c>
      <c r="F8" s="26">
        <f>(E8-C8)*10000</f>
        <v>41.960767109999985</v>
      </c>
      <c r="H8" s="1" t="s">
        <v>9</v>
      </c>
      <c r="I8" s="1"/>
      <c r="J8" s="4">
        <f>[10]Page1_1!$C$17</f>
        <v>8.2538950379999997E-3</v>
      </c>
      <c r="K8" s="4"/>
      <c r="L8" s="4">
        <f>[10]Page1_1!$E$17</f>
        <v>1.6741093891000002E-2</v>
      </c>
      <c r="M8" s="26">
        <f>(L8-J8)*10000</f>
        <v>84.871988530000024</v>
      </c>
      <c r="O8" s="1" t="s">
        <v>9</v>
      </c>
      <c r="P8" s="1"/>
      <c r="Q8" s="4">
        <f>[10]Page1_1!$C$35</f>
        <v>1.6835768680000002E-2</v>
      </c>
      <c r="R8" s="4"/>
      <c r="S8" s="4">
        <f>[10]Page1_1!$E$35</f>
        <v>2.7880408674999999E-2</v>
      </c>
      <c r="T8" s="26">
        <f>(S8-Q8)*10000</f>
        <v>110.44639994999997</v>
      </c>
      <c r="V8" s="1" t="s">
        <v>9</v>
      </c>
      <c r="W8" s="1"/>
      <c r="X8" s="4">
        <f>[10]Page1_1!$C$29</f>
        <v>2.5333745312999999E-2</v>
      </c>
      <c r="Y8" s="4"/>
      <c r="Z8" s="4">
        <f>[10]Page1_1!$E$29</f>
        <v>2.7537983690999999E-2</v>
      </c>
      <c r="AA8" s="26">
        <f>(Z8-X8)*10000</f>
        <v>22.042383780000002</v>
      </c>
      <c r="AC8" s="1" t="s">
        <v>9</v>
      </c>
      <c r="AD8" s="1"/>
      <c r="AE8" s="4">
        <f>[10]Page1_1!$C$23</f>
        <v>2.0067361972999999E-2</v>
      </c>
      <c r="AF8" s="4"/>
      <c r="AG8" s="4">
        <f>[10]Page1_1!$E$23</f>
        <v>2.3800268406E-2</v>
      </c>
      <c r="AH8" s="26">
        <f>(AG8-AE8)*10000</f>
        <v>37.329064330000016</v>
      </c>
    </row>
    <row r="9" spans="1:34" x14ac:dyDescent="0.3">
      <c r="A9" s="1" t="s">
        <v>11</v>
      </c>
      <c r="B9" s="1"/>
      <c r="C9" s="4">
        <f>C6/C5</f>
        <v>0.84786080665068531</v>
      </c>
      <c r="D9" s="4"/>
      <c r="E9" s="4">
        <f>E6/E5</f>
        <v>0.78745470131591977</v>
      </c>
      <c r="F9" s="28">
        <f>(E9-C9)*10000</f>
        <v>-604.06105334765539</v>
      </c>
      <c r="H9" s="1" t="s">
        <v>11</v>
      </c>
      <c r="I9" s="1"/>
      <c r="J9" s="4">
        <f>J6/J5</f>
        <v>0.99525836872230788</v>
      </c>
      <c r="K9" s="4"/>
      <c r="L9" s="4">
        <f>L6/L5</f>
        <v>0.99493358059534864</v>
      </c>
      <c r="M9" s="28">
        <f>(L9-J9)*10000</f>
        <v>-3.247881269592412</v>
      </c>
      <c r="O9" s="1" t="s">
        <v>11</v>
      </c>
      <c r="P9" s="1"/>
      <c r="Q9" s="4">
        <f>Q6/Q5</f>
        <v>0.75455636118648506</v>
      </c>
      <c r="R9" s="4"/>
      <c r="S9" s="4">
        <f>S6/S5</f>
        <v>0.83114168708253133</v>
      </c>
      <c r="T9" s="28">
        <f>(S9-Q9)*10000</f>
        <v>765.85325896046277</v>
      </c>
      <c r="V9" s="1" t="s">
        <v>11</v>
      </c>
      <c r="W9" s="1"/>
      <c r="X9" s="4">
        <f>X6/X5</f>
        <v>0.75343437367035893</v>
      </c>
      <c r="Y9" s="4"/>
      <c r="Z9" s="4">
        <f>Z6/Z5</f>
        <v>0.808763994004425</v>
      </c>
      <c r="AA9" s="28">
        <f>(Z9-X9)*10000</f>
        <v>553.29620334066078</v>
      </c>
      <c r="AC9" s="1" t="s">
        <v>11</v>
      </c>
      <c r="AD9" s="1"/>
      <c r="AE9" s="4">
        <f>AE6/AE5</f>
        <v>0.91246938914011055</v>
      </c>
      <c r="AF9" s="4"/>
      <c r="AG9" s="4">
        <f>AG6/AG5</f>
        <v>0.93170784020370001</v>
      </c>
      <c r="AH9" s="28">
        <f>(AG9-AE9)*10000</f>
        <v>192.38451063589457</v>
      </c>
    </row>
    <row r="15" spans="1:34" x14ac:dyDescent="0.3">
      <c r="A15" t="s">
        <v>58</v>
      </c>
    </row>
    <row r="17" spans="1:39" x14ac:dyDescent="0.3">
      <c r="A17" s="134" t="s">
        <v>49</v>
      </c>
      <c r="B17" s="134"/>
      <c r="C17" s="134"/>
      <c r="D17" s="134"/>
      <c r="E17" s="134"/>
      <c r="F17" s="134"/>
      <c r="H17" s="134" t="s">
        <v>50</v>
      </c>
      <c r="I17" s="134"/>
      <c r="J17" s="134"/>
      <c r="K17" s="134"/>
      <c r="L17" s="134"/>
      <c r="M17" s="134"/>
      <c r="O17" s="134" t="s">
        <v>44</v>
      </c>
      <c r="P17" s="134"/>
      <c r="Q17" s="134"/>
      <c r="R17" s="134"/>
      <c r="S17" s="134"/>
      <c r="T17" s="134"/>
      <c r="U17" s="15"/>
      <c r="V17" s="134" t="s">
        <v>45</v>
      </c>
      <c r="W17" s="134"/>
      <c r="X17" s="134"/>
      <c r="Y17" s="134"/>
      <c r="Z17" s="134"/>
      <c r="AA17" s="134"/>
      <c r="AB17" s="15"/>
      <c r="AC17" s="134" t="s">
        <v>46</v>
      </c>
      <c r="AD17" s="134"/>
      <c r="AE17" s="134"/>
      <c r="AF17" s="134"/>
      <c r="AG17" s="134"/>
      <c r="AH17" s="134"/>
    </row>
    <row r="18" spans="1:39" x14ac:dyDescent="0.3">
      <c r="A18" s="135"/>
      <c r="B18" s="149" t="s">
        <v>1</v>
      </c>
      <c r="C18" s="150"/>
      <c r="D18" s="150"/>
      <c r="E18" s="151"/>
      <c r="F18" s="137" t="s">
        <v>3</v>
      </c>
      <c r="H18" s="135"/>
      <c r="I18" s="149" t="s">
        <v>1</v>
      </c>
      <c r="J18" s="150"/>
      <c r="K18" s="150"/>
      <c r="L18" s="151"/>
      <c r="M18" s="135" t="s">
        <v>3</v>
      </c>
      <c r="O18" s="135"/>
      <c r="P18" s="149" t="s">
        <v>1</v>
      </c>
      <c r="Q18" s="150"/>
      <c r="R18" s="150"/>
      <c r="S18" s="151"/>
      <c r="T18" s="137" t="s">
        <v>3</v>
      </c>
      <c r="V18" s="135"/>
      <c r="W18" s="149" t="s">
        <v>1</v>
      </c>
      <c r="X18" s="150"/>
      <c r="Y18" s="150"/>
      <c r="Z18" s="151"/>
      <c r="AA18" s="137" t="s">
        <v>3</v>
      </c>
      <c r="AC18" s="135"/>
      <c r="AD18" s="149" t="s">
        <v>1</v>
      </c>
      <c r="AE18" s="150"/>
      <c r="AF18" s="150"/>
      <c r="AG18" s="151"/>
      <c r="AH18" s="137" t="s">
        <v>3</v>
      </c>
    </row>
    <row r="19" spans="1:39" x14ac:dyDescent="0.3">
      <c r="A19" s="136"/>
      <c r="B19" s="9">
        <v>45627</v>
      </c>
      <c r="C19" s="9">
        <v>45839</v>
      </c>
      <c r="D19" s="9">
        <v>45992</v>
      </c>
      <c r="E19" s="9">
        <v>46204</v>
      </c>
      <c r="F19" s="137"/>
      <c r="H19" s="136"/>
      <c r="I19" s="9">
        <v>45627</v>
      </c>
      <c r="J19" s="9">
        <v>45839</v>
      </c>
      <c r="K19" s="9">
        <v>45992</v>
      </c>
      <c r="L19" s="9">
        <v>46204</v>
      </c>
      <c r="M19" s="136"/>
      <c r="O19" s="136"/>
      <c r="P19" s="9">
        <v>45627</v>
      </c>
      <c r="Q19" s="9">
        <v>45839</v>
      </c>
      <c r="R19" s="9">
        <v>45992</v>
      </c>
      <c r="S19" s="9">
        <v>46204</v>
      </c>
      <c r="T19" s="137"/>
      <c r="V19" s="136"/>
      <c r="W19" s="9">
        <v>45627</v>
      </c>
      <c r="X19" s="9">
        <v>45839</v>
      </c>
      <c r="Y19" s="9">
        <v>45992</v>
      </c>
      <c r="Z19" s="9">
        <v>46204</v>
      </c>
      <c r="AA19" s="137"/>
      <c r="AC19" s="136"/>
      <c r="AD19" s="9">
        <v>45627</v>
      </c>
      <c r="AE19" s="9">
        <v>45839</v>
      </c>
      <c r="AF19" s="9">
        <v>45992</v>
      </c>
      <c r="AG19" s="9">
        <v>46204</v>
      </c>
      <c r="AH19" s="137"/>
    </row>
    <row r="20" spans="1:39" x14ac:dyDescent="0.3">
      <c r="A20" s="1" t="s">
        <v>6</v>
      </c>
      <c r="B20" s="3">
        <f>'[11]BU-Kinerja'!$C$3</f>
        <v>45449.143848644373</v>
      </c>
      <c r="C20" s="3">
        <v>45247</v>
      </c>
      <c r="D20" s="3">
        <v>48350</v>
      </c>
      <c r="E20" s="3">
        <v>46215</v>
      </c>
      <c r="F20" s="25">
        <f>E20/C20-1</f>
        <v>2.1393683559131071E-2</v>
      </c>
      <c r="H20" s="1" t="s">
        <v>6</v>
      </c>
      <c r="I20" s="3">
        <f>'[12]BU-Kinerja'!$C$3</f>
        <v>16701.977034399999</v>
      </c>
      <c r="J20" s="3">
        <v>16423.122832000001</v>
      </c>
      <c r="K20" s="3">
        <v>16748.393538799999</v>
      </c>
      <c r="L20" s="3">
        <v>16237.676129699999</v>
      </c>
      <c r="M20" s="25">
        <f>L20/J20-1</f>
        <v>-1.1291805108993302E-2</v>
      </c>
      <c r="O20" s="1" t="s">
        <v>6</v>
      </c>
      <c r="P20" s="3">
        <f>'[13]BU-Kinerja'!$C$3</f>
        <v>32049</v>
      </c>
      <c r="Q20" s="3">
        <v>30196.117370943</v>
      </c>
      <c r="R20" s="3">
        <v>28464.03483667145</v>
      </c>
      <c r="S20" s="3">
        <v>29217.703040081</v>
      </c>
      <c r="T20" s="25">
        <f>S20/Q20-1</f>
        <v>-3.2401991250819107E-2</v>
      </c>
      <c r="V20" s="1" t="s">
        <v>6</v>
      </c>
      <c r="W20" s="3">
        <f>'[14]BU-Kinerja'!$C$3</f>
        <v>30859.726565174002</v>
      </c>
      <c r="X20" s="3">
        <v>31742</v>
      </c>
      <c r="Y20" s="3">
        <v>31100</v>
      </c>
      <c r="Z20" s="3">
        <v>29729</v>
      </c>
      <c r="AA20" s="25">
        <f>Z20/X20-1</f>
        <v>-6.3417554029361778E-2</v>
      </c>
      <c r="AC20" s="1" t="s">
        <v>6</v>
      </c>
      <c r="AD20" s="3">
        <f>'[15]BU-Kinerja'!$C$3</f>
        <v>32957.815000000002</v>
      </c>
      <c r="AE20" s="3">
        <v>33820.252999999997</v>
      </c>
      <c r="AF20" s="3">
        <v>33488.079823647</v>
      </c>
      <c r="AG20" s="3">
        <v>33003.9002148</v>
      </c>
      <c r="AH20" s="25">
        <f>AG20/AE20-1</f>
        <v>-2.4137985756641056E-2</v>
      </c>
    </row>
    <row r="21" spans="1:39" x14ac:dyDescent="0.3">
      <c r="A21" s="1" t="s">
        <v>7</v>
      </c>
      <c r="B21" s="3">
        <f>'[11]BU-Kinerja'!$C$4</f>
        <v>35934.658900307491</v>
      </c>
      <c r="C21" s="3">
        <v>37233</v>
      </c>
      <c r="D21" s="3">
        <v>38645</v>
      </c>
      <c r="E21" s="3">
        <v>37602</v>
      </c>
      <c r="F21" s="25">
        <f>E21/C21-1</f>
        <v>9.9105632100555674E-3</v>
      </c>
      <c r="H21" s="1" t="s">
        <v>7</v>
      </c>
      <c r="I21" s="3">
        <f>'[12]BU-Kinerja'!$C$4</f>
        <v>10290.772193500001</v>
      </c>
      <c r="J21" s="3">
        <v>10949.562435200001</v>
      </c>
      <c r="K21" s="3">
        <v>10996.263413299999</v>
      </c>
      <c r="L21" s="3">
        <v>10638.613056599999</v>
      </c>
      <c r="M21" s="25">
        <f>L21/J21-1</f>
        <v>-2.8398338329975736E-2</v>
      </c>
      <c r="O21" s="1" t="s">
        <v>7</v>
      </c>
      <c r="P21" s="3">
        <f>'[13]BU-Kinerja'!$C$4</f>
        <v>26216</v>
      </c>
      <c r="Q21" s="3">
        <v>25650.589189640999</v>
      </c>
      <c r="R21" s="3">
        <v>23738.49909598528</v>
      </c>
      <c r="S21" s="3">
        <v>24744.661244339</v>
      </c>
      <c r="T21" s="25">
        <f>S21/Q21-1</f>
        <v>-3.5318017009443925E-2</v>
      </c>
      <c r="V21" s="1" t="s">
        <v>7</v>
      </c>
      <c r="W21" s="3">
        <f>'[14]BU-Kinerja'!$C$4</f>
        <v>24316.478203499999</v>
      </c>
      <c r="X21" s="3">
        <v>27091</v>
      </c>
      <c r="Y21" s="3">
        <v>25750</v>
      </c>
      <c r="Z21" s="3">
        <v>24379</v>
      </c>
      <c r="AA21" s="25">
        <f>Z21/X21-1</f>
        <v>-0.10010704662064895</v>
      </c>
      <c r="AC21" s="1" t="s">
        <v>7</v>
      </c>
      <c r="AD21" s="3">
        <f>'[15]BU-Kinerja'!$C$4</f>
        <v>26683.360700500001</v>
      </c>
      <c r="AE21" s="3">
        <v>27358.776999999998</v>
      </c>
      <c r="AF21" s="3">
        <v>26839.116000000002</v>
      </c>
      <c r="AG21" s="3">
        <v>26506.298999999999</v>
      </c>
      <c r="AH21" s="25">
        <f>AG21/AE21-1</f>
        <v>-3.115921446342429E-2</v>
      </c>
    </row>
    <row r="22" spans="1:39" x14ac:dyDescent="0.3">
      <c r="A22" s="1" t="s">
        <v>8</v>
      </c>
      <c r="B22" s="3">
        <f>'[11]BU-Kinerja'!$C$5</f>
        <v>31992.415184283291</v>
      </c>
      <c r="C22" s="3">
        <v>32248</v>
      </c>
      <c r="D22" s="3">
        <v>32094.400000000001</v>
      </c>
      <c r="E22" s="3">
        <v>32161.9</v>
      </c>
      <c r="F22" s="25">
        <f>E22/C22-1</f>
        <v>-2.6699330191019E-3</v>
      </c>
      <c r="H22" s="1" t="s">
        <v>8</v>
      </c>
      <c r="I22" s="3">
        <f>'[12]BU-Kinerja'!$C$5</f>
        <v>10833.772026799999</v>
      </c>
      <c r="J22" s="3">
        <v>11185.984152899999</v>
      </c>
      <c r="K22" s="3">
        <v>11229.6987653</v>
      </c>
      <c r="L22" s="3">
        <v>10864.1477299</v>
      </c>
      <c r="M22" s="25">
        <f>L22/J22-1</f>
        <v>-2.8771399869770176E-2</v>
      </c>
      <c r="O22" s="1" t="s">
        <v>8</v>
      </c>
      <c r="P22" s="3">
        <f>'[13]BU-Kinerja'!$C$5</f>
        <v>20404</v>
      </c>
      <c r="Q22" s="3">
        <v>20613.923648314001</v>
      </c>
      <c r="R22" s="3">
        <v>21171</v>
      </c>
      <c r="S22" s="3">
        <v>21966.241784842001</v>
      </c>
      <c r="T22" s="25">
        <f>S22/Q22-1</f>
        <v>6.5602170629879275E-2</v>
      </c>
      <c r="V22" s="1" t="s">
        <v>8</v>
      </c>
      <c r="W22" s="3">
        <f>'[14]BU-Kinerja'!$C$5</f>
        <v>21607.515931599999</v>
      </c>
      <c r="X22" s="3">
        <v>21550</v>
      </c>
      <c r="Y22" s="3">
        <v>21787</v>
      </c>
      <c r="Z22" s="3">
        <v>21646</v>
      </c>
      <c r="AA22" s="25">
        <f>Z22/X22-1</f>
        <v>4.4547563805104051E-3</v>
      </c>
      <c r="AC22" s="1" t="s">
        <v>8</v>
      </c>
      <c r="AD22" s="3">
        <f>'[15]BU-Kinerja'!$C$5</f>
        <v>25550.823588200001</v>
      </c>
      <c r="AE22" s="3">
        <v>25381</v>
      </c>
      <c r="AF22" s="3">
        <v>25269.567234563001</v>
      </c>
      <c r="AG22" s="3">
        <v>25420.2152652</v>
      </c>
      <c r="AH22" s="25">
        <f>AG22/AE22-1</f>
        <v>1.5450638351524049E-3</v>
      </c>
      <c r="AJ22" s="107">
        <f>SUM(C22,J22,Q22,X22,AE22)</f>
        <v>110978.90780121399</v>
      </c>
      <c r="AK22" s="107">
        <f>SUM(D22,K22,R22,Y22,AF22)</f>
        <v>111551.66599986301</v>
      </c>
      <c r="AL22" s="107">
        <f>SUM(E22,L22,S22,Z22,AG22)</f>
        <v>112058.50477994201</v>
      </c>
    </row>
    <row r="23" spans="1:39" x14ac:dyDescent="0.3">
      <c r="A23" s="1" t="s">
        <v>22</v>
      </c>
      <c r="B23" s="2">
        <f>'[11]BU-Kinerja'!$C$8</f>
        <v>0.21160000000000001</v>
      </c>
      <c r="C23" s="4">
        <v>0.20230000000000001</v>
      </c>
      <c r="D23" s="2">
        <v>0.2331</v>
      </c>
      <c r="E23" s="4">
        <v>0.2185</v>
      </c>
      <c r="F23" s="66">
        <f>(E23-C23)*10000</f>
        <v>161.99999999999991</v>
      </c>
      <c r="H23" s="1" t="s">
        <v>22</v>
      </c>
      <c r="I23" s="2">
        <f>'[12]BU-Kinerja'!$C$8</f>
        <v>0.445712</v>
      </c>
      <c r="J23" s="4">
        <v>0.45140000000000002</v>
      </c>
      <c r="K23" s="2">
        <v>0.4617</v>
      </c>
      <c r="L23" s="4">
        <v>0.46350000000000002</v>
      </c>
      <c r="M23" s="66">
        <f>(L23-J23)*10000</f>
        <v>121</v>
      </c>
      <c r="O23" s="1" t="s">
        <v>22</v>
      </c>
      <c r="P23" s="4" t="str">
        <f>'[13]BU-Kinerja'!$C$8</f>
        <v>21,10%</v>
      </c>
      <c r="Q23" s="4">
        <v>0.19874138398552799</v>
      </c>
      <c r="R23" s="2">
        <v>0.2006</v>
      </c>
      <c r="S23" s="4">
        <v>0.19439999999999999</v>
      </c>
      <c r="T23" s="66">
        <f>(S23-Q23)*10000</f>
        <v>-43.413839855279967</v>
      </c>
      <c r="V23" s="1" t="s">
        <v>22</v>
      </c>
      <c r="W23" s="2">
        <f>'[14]BU-Kinerja'!$C$8</f>
        <v>0.21179999999999999</v>
      </c>
      <c r="X23" s="128">
        <v>0.20419999999999999</v>
      </c>
      <c r="Y23" s="2">
        <v>0.21210000000000001</v>
      </c>
      <c r="Z23" s="128">
        <v>0.20380000000000001</v>
      </c>
      <c r="AA23" s="66">
        <f>(Z23-X23)*10000</f>
        <v>-3.999999999999837</v>
      </c>
      <c r="AC23" s="1" t="s">
        <v>22</v>
      </c>
      <c r="AD23" s="2">
        <f>'[15]BU-Kinerja'!$C$8</f>
        <v>0.23200000000000001</v>
      </c>
      <c r="AE23" s="4">
        <v>0.223</v>
      </c>
      <c r="AF23" s="2">
        <v>0.23719999999999999</v>
      </c>
      <c r="AG23" s="4">
        <v>0.22720000000000001</v>
      </c>
      <c r="AH23" s="66">
        <f>(AG23-AE23)*10000</f>
        <v>42.000000000000092</v>
      </c>
      <c r="AJ23" s="109">
        <f>AJ25/AJ22</f>
        <v>2.3685607586484518E-2</v>
      </c>
      <c r="AK23" s="109">
        <f>AK25/AK22</f>
        <v>2.8208038545762787E-2</v>
      </c>
      <c r="AL23" s="109">
        <f>AL25/AL22</f>
        <v>3.0544687212323455E-2</v>
      </c>
    </row>
    <row r="24" spans="1:39" x14ac:dyDescent="0.3">
      <c r="A24" s="1" t="s">
        <v>67</v>
      </c>
      <c r="B24" s="3">
        <f>'[11]BU-Kinerja'!$C$16</f>
        <v>4548.6786360421202</v>
      </c>
      <c r="C24" s="50">
        <v>4336.6000000000004</v>
      </c>
      <c r="D24" s="3">
        <v>4882.6000000000004</v>
      </c>
      <c r="E24" s="50">
        <v>4660.7</v>
      </c>
      <c r="F24" s="53">
        <f>E24/C24-1</f>
        <v>7.4735968270073228E-2</v>
      </c>
      <c r="H24" s="1" t="s">
        <v>67</v>
      </c>
      <c r="I24" s="3">
        <f>'[12]BU-Kinerja'!$C$16</f>
        <v>5082.2886810999998</v>
      </c>
      <c r="J24" s="50">
        <v>5168.8950000000004</v>
      </c>
      <c r="K24" s="3">
        <v>5386.33</v>
      </c>
      <c r="L24" s="50">
        <v>5189.2939999999999</v>
      </c>
      <c r="M24" s="53">
        <f>L24/J24-1</f>
        <v>3.9464914648099647E-3</v>
      </c>
      <c r="O24" s="1" t="s">
        <v>67</v>
      </c>
      <c r="P24" s="50">
        <f>'[13]BU-Kinerja'!$C$16</f>
        <v>3441</v>
      </c>
      <c r="Q24" s="50">
        <v>3272.6262492809101</v>
      </c>
      <c r="R24" s="3">
        <v>3441.9568020834199</v>
      </c>
      <c r="S24" s="50">
        <v>3295.107613832</v>
      </c>
      <c r="T24" s="53">
        <f>S24/Q24-1</f>
        <v>6.8695178852242744E-3</v>
      </c>
      <c r="V24" s="1" t="s">
        <v>67</v>
      </c>
      <c r="W24" s="3">
        <f>'[14]BU-Kinerja'!$C$16</f>
        <v>3305.8285999999998</v>
      </c>
      <c r="X24" s="129">
        <v>3314</v>
      </c>
      <c r="Y24" s="3">
        <v>3276</v>
      </c>
      <c r="Z24" s="129">
        <v>3228</v>
      </c>
      <c r="AA24" s="53">
        <f>Z24/X24-1</f>
        <v>-2.5950512975256523E-2</v>
      </c>
      <c r="AC24" s="1" t="s">
        <v>67</v>
      </c>
      <c r="AD24" s="3">
        <f>'[15]BU-Kinerja'!$C$16</f>
        <v>3917.1885378000002</v>
      </c>
      <c r="AE24" s="50">
        <v>3818.067</v>
      </c>
      <c r="AF24" s="3">
        <v>4064.8229999999999</v>
      </c>
      <c r="AG24" s="50">
        <v>4010.9810000000002</v>
      </c>
      <c r="AH24" s="53">
        <f>AG24/AE24-1</f>
        <v>5.0526614645578505E-2</v>
      </c>
    </row>
    <row r="25" spans="1:39" x14ac:dyDescent="0.3">
      <c r="A25" s="1" t="s">
        <v>101</v>
      </c>
      <c r="B25" s="2">
        <f>'[11]BU-Kinerja'!$C$9</f>
        <v>2.1899999999999999E-2</v>
      </c>
      <c r="C25" s="4">
        <v>2.4400000000000002E-2</v>
      </c>
      <c r="D25" s="2">
        <v>3.1199999999999999E-2</v>
      </c>
      <c r="E25" s="4">
        <v>3.1300000000000001E-2</v>
      </c>
      <c r="F25" s="26">
        <f t="shared" ref="F25:F30" si="0">(E25-C25)*10000</f>
        <v>69</v>
      </c>
      <c r="H25" s="1" t="s">
        <v>101</v>
      </c>
      <c r="I25" s="2">
        <f>'[12]BU-Kinerja'!$C$9</f>
        <v>6.5900000000000004E-3</v>
      </c>
      <c r="J25" s="4">
        <v>1.8000000000000002E-2</v>
      </c>
      <c r="K25" s="2">
        <v>1.5600000000000001E-2</v>
      </c>
      <c r="L25" s="4">
        <v>1.8700000000000001E-2</v>
      </c>
      <c r="M25" s="26">
        <f t="shared" ref="M25:M30" si="1">(L25-J25)*10000</f>
        <v>6.999999999999992</v>
      </c>
      <c r="O25" s="1" t="s">
        <v>101</v>
      </c>
      <c r="P25" s="4" t="str">
        <f>'[13]BU-Kinerja'!$C$9</f>
        <v>1,69%</v>
      </c>
      <c r="Q25" s="4">
        <v>2.5727365389139601E-2</v>
      </c>
      <c r="R25" s="2">
        <v>2.5100000000000001E-2</v>
      </c>
      <c r="S25" s="4">
        <v>2.7900000000000001E-2</v>
      </c>
      <c r="T25" s="26">
        <f t="shared" ref="T25:T30" si="2">(S25-Q25)*10000</f>
        <v>21.726346108604002</v>
      </c>
      <c r="V25" s="1" t="s">
        <v>101</v>
      </c>
      <c r="W25" s="2">
        <f>'[14]BU-Kinerja'!$C$9</f>
        <v>2.3699999999999999E-2</v>
      </c>
      <c r="X25" s="128">
        <v>2.5600000000000001E-2</v>
      </c>
      <c r="Y25" s="2">
        <v>3.8199999999999998E-2</v>
      </c>
      <c r="Z25" s="128">
        <v>4.0099999999999997E-2</v>
      </c>
      <c r="AA25" s="26">
        <f t="shared" ref="AA25:AA30" si="3">(Z25-X25)*10000</f>
        <v>144.99999999999994</v>
      </c>
      <c r="AC25" s="1" t="s">
        <v>101</v>
      </c>
      <c r="AD25" s="2">
        <f>'[15]BU-Kinerja'!$C$9</f>
        <v>1.8499999999999999E-2</v>
      </c>
      <c r="AE25" s="4">
        <v>2.1999999999999999E-2</v>
      </c>
      <c r="AF25" s="2">
        <v>2.4E-2</v>
      </c>
      <c r="AG25" s="4">
        <v>2.8799999999999999E-2</v>
      </c>
      <c r="AH25" s="26">
        <f t="shared" ref="AH25:AH30" si="4">(AG25-AE25)*10000</f>
        <v>68</v>
      </c>
      <c r="AJ25" s="108">
        <f>(C25*C22)+(J25*J22)+(Q25*Q22)+(X25*X22)+(AE25*AE22)</f>
        <v>2628.6028605562001</v>
      </c>
      <c r="AK25" s="108">
        <f>(D25*D22)+(K25*K22)+(R25*R22)+(Y25*Y22)+(AF25*AF22)</f>
        <v>3146.6536943681917</v>
      </c>
      <c r="AL25" s="108">
        <f>(E25*E22)+(L25*L22)+(S25*S22)+(Z25*Z22)+(AG25*AG22)</f>
        <v>3422.7919779839817</v>
      </c>
    </row>
    <row r="26" spans="1:39" x14ac:dyDescent="0.3">
      <c r="A26" s="1" t="s">
        <v>102</v>
      </c>
      <c r="B26" s="2"/>
      <c r="C26" s="4">
        <v>1.0999999999999999E-2</v>
      </c>
      <c r="D26" s="2">
        <v>1.04E-2</v>
      </c>
      <c r="E26" s="4">
        <v>1.06E-2</v>
      </c>
      <c r="F26" s="26">
        <f t="shared" si="0"/>
        <v>-3.9999999999999933</v>
      </c>
      <c r="H26" s="1" t="s">
        <v>102</v>
      </c>
      <c r="I26" s="2"/>
      <c r="J26" s="4">
        <v>8.8000000000000005E-3</v>
      </c>
      <c r="K26" s="2">
        <v>8.0000000000000002E-3</v>
      </c>
      <c r="L26" s="4">
        <v>1.03E-2</v>
      </c>
      <c r="M26" s="26">
        <f t="shared" si="1"/>
        <v>14.999999999999996</v>
      </c>
      <c r="O26" s="1" t="s">
        <v>102</v>
      </c>
      <c r="P26" s="4"/>
      <c r="Q26" s="4">
        <v>1.17927691513926E-2</v>
      </c>
      <c r="R26" s="2">
        <v>1.04E-2</v>
      </c>
      <c r="S26" s="4">
        <v>1.35E-2</v>
      </c>
      <c r="T26" s="26">
        <f t="shared" si="2"/>
        <v>17.072308486074</v>
      </c>
      <c r="V26" s="1" t="s">
        <v>102</v>
      </c>
      <c r="W26" s="2"/>
      <c r="X26" s="128">
        <v>4.8999999999999998E-3</v>
      </c>
      <c r="Y26" s="2">
        <v>1.4800000000000001E-2</v>
      </c>
      <c r="Z26" s="128">
        <v>1.6199999999999999E-2</v>
      </c>
      <c r="AA26" s="26">
        <f>(Z26-X26)*10000</f>
        <v>112.99999999999999</v>
      </c>
      <c r="AC26" s="1" t="s">
        <v>102</v>
      </c>
      <c r="AD26" s="2"/>
      <c r="AE26" s="4">
        <v>5.5999999999999999E-3</v>
      </c>
      <c r="AF26" s="2">
        <v>8.2000000000000007E-3</v>
      </c>
      <c r="AG26" s="4">
        <v>1.0200000000000001E-2</v>
      </c>
      <c r="AH26" s="26">
        <f t="shared" si="4"/>
        <v>46.000000000000007</v>
      </c>
    </row>
    <row r="27" spans="1:39" x14ac:dyDescent="0.3">
      <c r="A27" s="1" t="s">
        <v>81</v>
      </c>
      <c r="B27" s="2"/>
      <c r="C27" s="128">
        <v>8.2500000000000004E-2</v>
      </c>
      <c r="D27" s="2">
        <v>8.4500000000000006E-2</v>
      </c>
      <c r="E27" s="128">
        <v>8.8599999999999998E-2</v>
      </c>
      <c r="F27" s="26">
        <f t="shared" si="0"/>
        <v>60.999999999999943</v>
      </c>
      <c r="H27" s="1" t="s">
        <v>81</v>
      </c>
      <c r="I27" s="2"/>
      <c r="J27" s="4">
        <v>8.1600000000000006E-2</v>
      </c>
      <c r="K27" s="2">
        <v>7.6799999999999993E-2</v>
      </c>
      <c r="L27" s="4">
        <v>8.6899999999999991E-2</v>
      </c>
      <c r="M27" s="26">
        <f t="shared" si="1"/>
        <v>52.999999999999851</v>
      </c>
      <c r="O27" s="1" t="s">
        <v>81</v>
      </c>
      <c r="P27" s="2"/>
      <c r="Q27" s="4">
        <v>6.9400000000000003E-2</v>
      </c>
      <c r="R27" s="2">
        <v>0.16839999999999999</v>
      </c>
      <c r="S27" s="4">
        <v>0.34389999999999998</v>
      </c>
      <c r="T27" s="26">
        <f t="shared" si="2"/>
        <v>2744.9999999999995</v>
      </c>
      <c r="V27" s="1" t="s">
        <v>81</v>
      </c>
      <c r="W27" s="2"/>
      <c r="X27" s="128">
        <v>7.9904615285391722E-2</v>
      </c>
      <c r="Y27" s="2">
        <v>7.0823365190251064E-2</v>
      </c>
      <c r="Z27" s="128">
        <v>8.6723823678308554E-2</v>
      </c>
      <c r="AA27" s="26">
        <f t="shared" si="3"/>
        <v>68.192083929168319</v>
      </c>
      <c r="AC27" s="1" t="s">
        <v>81</v>
      </c>
      <c r="AD27" s="2"/>
      <c r="AE27" s="4">
        <v>9.0499999999999997E-2</v>
      </c>
      <c r="AF27" s="2">
        <v>9.2399999999999996E-2</v>
      </c>
      <c r="AG27" s="4">
        <v>9.2499999999999999E-2</v>
      </c>
      <c r="AH27" s="26">
        <f t="shared" si="4"/>
        <v>20.000000000000018</v>
      </c>
    </row>
    <row r="28" spans="1:39" x14ac:dyDescent="0.3">
      <c r="A28" s="1" t="s">
        <v>11</v>
      </c>
      <c r="B28" s="2">
        <f>'[11]BU-Kinerja'!$C$10</f>
        <v>0.87090000000000001</v>
      </c>
      <c r="C28" s="4">
        <v>0.85</v>
      </c>
      <c r="D28" s="2">
        <v>0.81759999999999999</v>
      </c>
      <c r="E28" s="4">
        <v>0.85</v>
      </c>
      <c r="F28" s="28">
        <f t="shared" si="0"/>
        <v>0</v>
      </c>
      <c r="H28" s="1" t="s">
        <v>11</v>
      </c>
      <c r="I28" s="2">
        <f>'[12]BU-Kinerja'!$C$10</f>
        <v>1.05277</v>
      </c>
      <c r="J28" s="4">
        <v>1.0216000000000001</v>
      </c>
      <c r="K28" s="2">
        <v>1.0210999999999999</v>
      </c>
      <c r="L28" s="4">
        <v>1.0209000000000001</v>
      </c>
      <c r="M28" s="28">
        <f t="shared" si="1"/>
        <v>-6.9999999999992291</v>
      </c>
      <c r="O28" s="1" t="s">
        <v>11</v>
      </c>
      <c r="P28" s="4" t="str">
        <f>'[13]BU-Kinerja'!$C$10</f>
        <v>77,83%</v>
      </c>
      <c r="Q28" s="4">
        <v>0.80359999999999998</v>
      </c>
      <c r="R28" s="2">
        <v>0.89190000000000003</v>
      </c>
      <c r="S28" s="4">
        <v>0.88770000000000004</v>
      </c>
      <c r="T28" s="28">
        <f t="shared" si="2"/>
        <v>841.00000000000068</v>
      </c>
      <c r="V28" s="1" t="s">
        <v>11</v>
      </c>
      <c r="W28" s="2">
        <f>'[14]BU-Kinerja'!$C$10</f>
        <v>0.88859999999999995</v>
      </c>
      <c r="X28" s="128">
        <v>0.79549999999999998</v>
      </c>
      <c r="Y28" s="2">
        <v>0.84609999999999996</v>
      </c>
      <c r="Z28" s="128">
        <v>0.88790000000000002</v>
      </c>
      <c r="AA28" s="28">
        <f t="shared" si="3"/>
        <v>924.00000000000034</v>
      </c>
      <c r="AC28" s="1" t="s">
        <v>11</v>
      </c>
      <c r="AD28" s="2">
        <f>'[15]BU-Kinerja'!$C$10</f>
        <v>0.95760000000000001</v>
      </c>
      <c r="AE28" s="4">
        <v>0.92769999999999997</v>
      </c>
      <c r="AF28" s="2">
        <v>0.9415</v>
      </c>
      <c r="AG28" s="4">
        <v>0.95499999999999996</v>
      </c>
      <c r="AH28" s="28">
        <f t="shared" si="4"/>
        <v>272.99999999999989</v>
      </c>
    </row>
    <row r="29" spans="1:39" x14ac:dyDescent="0.3">
      <c r="A29" s="1" t="s">
        <v>65</v>
      </c>
      <c r="B29" s="69" t="s">
        <v>5</v>
      </c>
      <c r="C29" s="128">
        <f>'[16]BU-Kinerja'!B19/'[16]BU-Kinerja'!B20</f>
        <v>0.19882248211330988</v>
      </c>
      <c r="D29" s="128">
        <f>'[16]BU-Kinerja'!C19/'[16]BU-Kinerja'!C20</f>
        <v>0.21292717968438379</v>
      </c>
      <c r="E29" s="128">
        <f>'[16]BU-Kinerja'!D19/'[16]BU-Kinerja'!D20</f>
        <v>0.22268870730587043</v>
      </c>
      <c r="F29" s="67">
        <f t="shared" si="0"/>
        <v>238.6622519256054</v>
      </c>
      <c r="H29" s="1" t="s">
        <v>65</v>
      </c>
      <c r="I29" s="69" t="s">
        <v>5</v>
      </c>
      <c r="J29" s="4">
        <f>'[17]BU-Kinerja'!B19/'[17]BU-Kinerja'!B20</f>
        <v>0.32203963944440228</v>
      </c>
      <c r="K29" s="4">
        <f>'[17]BU-Kinerja'!C19/'[17]BU-Kinerja'!C20</f>
        <v>0.30727346245845516</v>
      </c>
      <c r="L29" s="4">
        <f>'[17]BU-Kinerja'!D19/'[17]BU-Kinerja'!D20</f>
        <v>0.30637307021271082</v>
      </c>
      <c r="M29" s="67">
        <f t="shared" si="1"/>
        <v>-156.66569231691463</v>
      </c>
      <c r="O29" s="1" t="s">
        <v>65</v>
      </c>
      <c r="P29" s="69" t="s">
        <v>5</v>
      </c>
      <c r="Q29" s="4">
        <f>'[18]BU Kinerja'!B19/'[18]BU Kinerja'!B20</f>
        <v>0.17235772191335957</v>
      </c>
      <c r="R29" s="4">
        <f>'[18]BU Kinerja'!C19/'[18]BU Kinerja'!C20</f>
        <v>0.21137976872609229</v>
      </c>
      <c r="S29" s="4">
        <f>'[18]BU Kinerja'!D19/'[18]BU Kinerja'!D20</f>
        <v>0.19364688552789497</v>
      </c>
      <c r="T29" s="67">
        <f t="shared" si="2"/>
        <v>212.89163614535394</v>
      </c>
      <c r="V29" s="1" t="s">
        <v>65</v>
      </c>
      <c r="W29" s="69" t="s">
        <v>5</v>
      </c>
      <c r="X29" s="128">
        <f>'[19]BU-Kinerja'!B19/'[19]BU-Kinerja'!B20</f>
        <v>0.25345632243100891</v>
      </c>
      <c r="Y29" s="128">
        <f>'[19]BU-Kinerja'!C19/'[19]BU-Kinerja'!C20</f>
        <v>0.19240943974293739</v>
      </c>
      <c r="Z29" s="128">
        <f>'[19]BU-Kinerja'!D19/'[19]BU-Kinerja'!D20</f>
        <v>0.16555928302470527</v>
      </c>
      <c r="AA29" s="67">
        <f t="shared" si="3"/>
        <v>-878.97039406303645</v>
      </c>
      <c r="AC29" s="1" t="s">
        <v>65</v>
      </c>
      <c r="AD29" s="69" t="s">
        <v>5</v>
      </c>
      <c r="AE29" s="4">
        <f>'[20]BU-Kinerja'!B19/'[20]BU-Kinerja'!B20</f>
        <v>0.23395501007830175</v>
      </c>
      <c r="AF29" s="4">
        <f>'[20]BU-Kinerja'!C19/'[20]BU-Kinerja'!C20</f>
        <v>0.21995450565188726</v>
      </c>
      <c r="AG29" s="4">
        <f>'[20]BU-Kinerja'!D19/'[20]BU-Kinerja'!D20</f>
        <v>0.17647538051895742</v>
      </c>
      <c r="AH29" s="67">
        <f t="shared" si="4"/>
        <v>-574.79629559344323</v>
      </c>
    </row>
    <row r="30" spans="1:39" ht="15" thickBot="1" x14ac:dyDescent="0.35">
      <c r="A30" s="1" t="s">
        <v>66</v>
      </c>
      <c r="B30" s="69" t="s">
        <v>5</v>
      </c>
      <c r="C30" s="128">
        <f>'[16]BU-Kinerja'!B19/'[16]BU-Kinerja'!B21</f>
        <v>0.95573952677534546</v>
      </c>
      <c r="D30" s="128">
        <f>'[16]BU-Kinerja'!C19/'[16]BU-Kinerja'!C21</f>
        <v>1.0562427459045047</v>
      </c>
      <c r="E30" s="128">
        <f>'[16]BU-Kinerja'!D19/'[16]BU-Kinerja'!D21</f>
        <v>0.92655211840424467</v>
      </c>
      <c r="F30" s="67">
        <f t="shared" si="0"/>
        <v>-291.87408371100787</v>
      </c>
      <c r="H30" s="1" t="s">
        <v>66</v>
      </c>
      <c r="I30" s="69" t="s">
        <v>5</v>
      </c>
      <c r="J30" s="4">
        <f>'[17]BU-Kinerja'!B19/'[17]BU-Kinerja'!B21</f>
        <v>1.6240350691587924</v>
      </c>
      <c r="K30" s="4">
        <f>'[17]BU-Kinerja'!C19/'[17]BU-Kinerja'!C21</f>
        <v>1.5547739193388823</v>
      </c>
      <c r="L30" s="4">
        <f>'[17]BU-Kinerja'!D19/'[17]BU-Kinerja'!D21</f>
        <v>1.5495893681015769</v>
      </c>
      <c r="M30" s="67">
        <f t="shared" si="1"/>
        <v>-744.4570105721549</v>
      </c>
      <c r="O30" s="1" t="s">
        <v>66</v>
      </c>
      <c r="P30" s="69" t="s">
        <v>5</v>
      </c>
      <c r="Q30" s="4">
        <f>'[18]BU Kinerja'!B19/'[18]BU Kinerja'!B21</f>
        <v>0.73496266569100643</v>
      </c>
      <c r="R30" s="4">
        <f>'[18]BU Kinerja'!C19/'[18]BU Kinerja'!C21</f>
        <v>0.86544236119317275</v>
      </c>
      <c r="S30" s="4">
        <f>'[18]BU Kinerja'!D19/'[18]BU Kinerja'!D21</f>
        <v>0.76877070099417755</v>
      </c>
      <c r="T30" s="67">
        <f t="shared" si="2"/>
        <v>338.08035303171113</v>
      </c>
      <c r="V30" s="1" t="s">
        <v>66</v>
      </c>
      <c r="W30" s="69" t="s">
        <v>5</v>
      </c>
      <c r="X30" s="128">
        <f>'[19]BU-Kinerja'!B19/'[19]BU-Kinerja'!B21</f>
        <v>1.3300962353609904</v>
      </c>
      <c r="Y30" s="128">
        <f>'[19]BU-Kinerja'!C19/'[19]BU-Kinerja'!C21</f>
        <v>1.0357665331447257</v>
      </c>
      <c r="Z30" s="128">
        <f>'[19]BU-Kinerja'!D19/'[19]BU-Kinerja'!D21</f>
        <v>0.81696741281996899</v>
      </c>
      <c r="AA30" s="67">
        <f t="shared" si="3"/>
        <v>-5131.2882254102142</v>
      </c>
      <c r="AC30" s="1" t="s">
        <v>66</v>
      </c>
      <c r="AD30" s="69" t="s">
        <v>5</v>
      </c>
      <c r="AE30" s="4">
        <f>'[20]BU-Kinerja'!B19/'[20]BU-Kinerja'!$B$21</f>
        <v>1.2592558061683503</v>
      </c>
      <c r="AF30" s="4">
        <f>'[20]BU-Kinerja'!C19/'[20]BU-Kinerja'!$B$21</f>
        <v>1.1614109767162741</v>
      </c>
      <c r="AG30" s="4">
        <f>'[20]BU-Kinerja'!D19/'[20]BU-Kinerja'!$B$21</f>
        <v>0.9202761523750701</v>
      </c>
      <c r="AH30" s="67">
        <f t="shared" si="4"/>
        <v>-3389.796537932802</v>
      </c>
    </row>
    <row r="31" spans="1:39" x14ac:dyDescent="0.3">
      <c r="AJ31" s="152" t="s">
        <v>92</v>
      </c>
      <c r="AK31" s="153"/>
      <c r="AL31" s="153"/>
      <c r="AM31" s="154"/>
    </row>
    <row r="32" spans="1:39" ht="16.05" customHeight="1" x14ac:dyDescent="0.3">
      <c r="A32" s="48" t="s">
        <v>68</v>
      </c>
      <c r="B32" s="48"/>
      <c r="C32" s="51">
        <f>C23*C33</f>
        <v>4601.6574100000007</v>
      </c>
      <c r="D32" s="51">
        <f>D23*D33</f>
        <v>5166.4283999999998</v>
      </c>
      <c r="E32" s="51">
        <f>E23*E33</f>
        <v>4923.3512499999997</v>
      </c>
      <c r="F32" s="52">
        <f>E32/C32-1</f>
        <v>6.9908255078032555E-2</v>
      </c>
      <c r="G32" s="49"/>
      <c r="H32" s="56" t="s">
        <v>70</v>
      </c>
      <c r="I32" s="48"/>
      <c r="J32" s="51">
        <f>J23*J33</f>
        <v>5280.1571258020003</v>
      </c>
      <c r="K32" s="51">
        <f>K23*K33</f>
        <v>5501.4794610389999</v>
      </c>
      <c r="L32" s="51">
        <f>L23*L33</f>
        <v>5298.260833710001</v>
      </c>
      <c r="M32" s="52">
        <f>L32/J32-1</f>
        <v>3.4286305268331763E-3</v>
      </c>
      <c r="N32" s="49"/>
      <c r="O32" s="56" t="s">
        <v>70</v>
      </c>
      <c r="P32" s="48"/>
      <c r="Q32" s="51">
        <f>Q23*Q33</f>
        <v>3439.2491430145487</v>
      </c>
      <c r="R32" s="51">
        <f>R23*R33</f>
        <v>3451.9283189580146</v>
      </c>
      <c r="S32" s="51">
        <f>S23*S33</f>
        <v>3468.8734876833196</v>
      </c>
      <c r="T32" s="52">
        <f>S32/Q32-1</f>
        <v>8.6136082141476944E-3</v>
      </c>
      <c r="U32" s="49"/>
      <c r="V32" s="56" t="s">
        <v>70</v>
      </c>
      <c r="W32" s="48"/>
      <c r="X32" s="130">
        <f>X23*X33</f>
        <v>3315.3178779059999</v>
      </c>
      <c r="Y32" s="130">
        <f>Y23*Y33</f>
        <v>3507.1836753450002</v>
      </c>
      <c r="Z32" s="130">
        <f>Z23*Z33</f>
        <v>3398.7038704880001</v>
      </c>
      <c r="AA32" s="52">
        <f>Z32/X32-1</f>
        <v>2.515173375612112E-2</v>
      </c>
      <c r="AB32" s="49"/>
      <c r="AC32" s="56" t="s">
        <v>70</v>
      </c>
      <c r="AD32" s="48"/>
      <c r="AE32" s="51">
        <f>AE23*AE33</f>
        <v>3993.7940368999998</v>
      </c>
      <c r="AF32" s="51">
        <f>AF23*AF33</f>
        <v>4240.1778946439999</v>
      </c>
      <c r="AG32" s="51">
        <f>AG23*AG33</f>
        <v>4230.0380000000005</v>
      </c>
      <c r="AH32" s="52">
        <f>AG32/AE32-1</f>
        <v>5.9152765745369873E-2</v>
      </c>
      <c r="AI32" s="49"/>
      <c r="AJ32" s="56" t="s">
        <v>70</v>
      </c>
      <c r="AK32" s="54">
        <f>SUM(C32,J32,Q32,X32,AE32)</f>
        <v>20630.175593622549</v>
      </c>
      <c r="AL32" s="54">
        <f>SUM(E32,L32,S32,Z32,AG32)</f>
        <v>21319.227441881321</v>
      </c>
      <c r="AM32" s="53">
        <f>AL32/AK32-1</f>
        <v>3.3400193087633312E-2</v>
      </c>
    </row>
    <row r="33" spans="1:39" s="49" customFormat="1" x14ac:dyDescent="0.3">
      <c r="A33" s="1" t="s">
        <v>69</v>
      </c>
      <c r="B33" s="1"/>
      <c r="C33" s="50">
        <v>22746.7</v>
      </c>
      <c r="D33" s="50">
        <v>22164</v>
      </c>
      <c r="E33" s="28">
        <v>22532.5</v>
      </c>
      <c r="F33" s="53">
        <f>E33/C33-1</f>
        <v>-9.4167505616199465E-3</v>
      </c>
      <c r="G33"/>
      <c r="H33" s="1" t="s">
        <v>69</v>
      </c>
      <c r="I33" s="1"/>
      <c r="J33" s="50">
        <v>11697.290929999999</v>
      </c>
      <c r="K33" s="50">
        <v>11915.70167</v>
      </c>
      <c r="L33" s="28">
        <v>11430.983460000001</v>
      </c>
      <c r="M33" s="53">
        <f>L33/J33-1</f>
        <v>-2.2766593700512372E-2</v>
      </c>
      <c r="N33"/>
      <c r="O33" s="1" t="s">
        <v>69</v>
      </c>
      <c r="P33" s="1"/>
      <c r="Q33" s="50">
        <v>17305.148399615598</v>
      </c>
      <c r="R33" s="50">
        <v>17208.017542163583</v>
      </c>
      <c r="S33" s="28">
        <v>17843.9994222393</v>
      </c>
      <c r="T33" s="53">
        <f>S33/Q33-1</f>
        <v>3.1138191374057822E-2</v>
      </c>
      <c r="U33"/>
      <c r="V33" s="1" t="s">
        <v>69</v>
      </c>
      <c r="W33" s="1"/>
      <c r="X33" s="129">
        <v>16235.64093</v>
      </c>
      <c r="Y33" s="129">
        <v>16535.51945</v>
      </c>
      <c r="Z33" s="28">
        <v>16676.662759999999</v>
      </c>
      <c r="AA33" s="53">
        <f>Z33/X33-1</f>
        <v>2.7163807816486418E-2</v>
      </c>
      <c r="AB33"/>
      <c r="AC33" s="1" t="s">
        <v>69</v>
      </c>
      <c r="AD33" s="1"/>
      <c r="AE33" s="50">
        <v>17909.390299999999</v>
      </c>
      <c r="AF33" s="50">
        <v>17875.960770000002</v>
      </c>
      <c r="AG33" s="28">
        <v>18618.125</v>
      </c>
      <c r="AH33" s="53">
        <f>AG33/AE33-1</f>
        <v>3.9573357223668282E-2</v>
      </c>
      <c r="AI33"/>
      <c r="AJ33" s="55" t="s">
        <v>69</v>
      </c>
      <c r="AK33" s="54">
        <f>SUM(C33,J33,Q33,X33,AE33)</f>
        <v>85894.170559615595</v>
      </c>
      <c r="AL33" s="54">
        <f>SUM(E33,L33,S33,Z33,AG33)</f>
        <v>87102.270642239309</v>
      </c>
      <c r="AM33" s="53">
        <f>AL33/AK33-1</f>
        <v>1.4064983394713959E-2</v>
      </c>
    </row>
    <row r="34" spans="1:39" ht="15" thickBot="1" x14ac:dyDescent="0.35">
      <c r="AJ34" s="57" t="s">
        <v>22</v>
      </c>
      <c r="AK34" s="58">
        <f>AK32/AK33</f>
        <v>0.24018132382224933</v>
      </c>
      <c r="AL34" s="58">
        <f>AL32/AL33</f>
        <v>0.24476086885779522</v>
      </c>
      <c r="AM34" s="67">
        <f>(AL34-AK34)*10000</f>
        <v>45.795450355458897</v>
      </c>
    </row>
    <row r="35" spans="1:39" ht="19.2" x14ac:dyDescent="0.3">
      <c r="O35" s="68"/>
      <c r="S35" s="59"/>
      <c r="T35" s="59"/>
      <c r="U35" s="59"/>
      <c r="V35" s="59"/>
      <c r="Z35" s="59"/>
      <c r="AA35" s="59"/>
      <c r="AB35" s="59"/>
      <c r="AC35" s="59"/>
    </row>
    <row r="37" spans="1:39" x14ac:dyDescent="0.3">
      <c r="A37" s="63"/>
      <c r="B37" s="64"/>
      <c r="C37" s="65">
        <v>45627</v>
      </c>
      <c r="D37" s="65">
        <v>45809</v>
      </c>
      <c r="E37" s="65">
        <v>45992</v>
      </c>
      <c r="F37" s="65">
        <v>46174</v>
      </c>
      <c r="T37" s="106">
        <f t="shared" ref="T37:V38" si="5">SUM(C32,J32)</f>
        <v>9881.814535802001</v>
      </c>
      <c r="U37" s="106">
        <f t="shared" si="5"/>
        <v>10667.907861038999</v>
      </c>
      <c r="V37" s="106">
        <f t="shared" si="5"/>
        <v>10221.612083710001</v>
      </c>
      <c r="W37" s="106"/>
      <c r="X37" s="106"/>
      <c r="Y37" s="106"/>
      <c r="Z37" s="106"/>
      <c r="AA37" s="106"/>
      <c r="AB37" s="106"/>
    </row>
    <row r="38" spans="1:39" x14ac:dyDescent="0.3">
      <c r="A38" s="62" t="s">
        <v>6</v>
      </c>
      <c r="B38" s="1" t="s">
        <v>77</v>
      </c>
      <c r="C38" s="50">
        <f>$B$20</f>
        <v>45449.143848644373</v>
      </c>
      <c r="D38" s="50">
        <f>$C$20</f>
        <v>45247</v>
      </c>
      <c r="E38" s="50">
        <f>$D$20</f>
        <v>48350</v>
      </c>
      <c r="F38" s="50">
        <f>$E$20</f>
        <v>46215</v>
      </c>
      <c r="T38" s="106">
        <f t="shared" si="5"/>
        <v>34443.99093</v>
      </c>
      <c r="U38" s="106">
        <f t="shared" si="5"/>
        <v>34079.701670000002</v>
      </c>
      <c r="V38" s="106">
        <f t="shared" si="5"/>
        <v>33963.483460000003</v>
      </c>
      <c r="W38" s="106"/>
      <c r="X38" s="106"/>
      <c r="Y38" s="106"/>
      <c r="Z38" s="106"/>
      <c r="AA38" s="106"/>
      <c r="AB38" s="106"/>
    </row>
    <row r="39" spans="1:39" x14ac:dyDescent="0.3">
      <c r="A39" s="63"/>
      <c r="B39" s="1" t="s">
        <v>50</v>
      </c>
      <c r="C39" s="50">
        <f>$I$20</f>
        <v>16701.977034399999</v>
      </c>
      <c r="D39" s="50">
        <f>$J$20</f>
        <v>16423.122832000001</v>
      </c>
      <c r="E39" s="50">
        <f>$K$20</f>
        <v>16748.393538799999</v>
      </c>
      <c r="F39" s="50">
        <f>$L$20</f>
        <v>16237.676129699999</v>
      </c>
      <c r="T39" s="109">
        <f>T37/T38</f>
        <v>0.28689516716819091</v>
      </c>
      <c r="U39" s="109">
        <f>U37/U38</f>
        <v>0.31302820559693584</v>
      </c>
      <c r="V39" s="109">
        <f>V37/V38</f>
        <v>0.30095888414238647</v>
      </c>
      <c r="W39" s="106"/>
      <c r="X39" s="106">
        <f>(V39-T39)*10000</f>
        <v>140.6371697419556</v>
      </c>
      <c r="Y39" s="106"/>
      <c r="Z39" s="106"/>
      <c r="AA39" s="106"/>
      <c r="AB39" s="106"/>
    </row>
    <row r="40" spans="1:39" x14ac:dyDescent="0.3">
      <c r="A40" s="63"/>
      <c r="B40" s="1" t="s">
        <v>78</v>
      </c>
      <c r="C40" s="50">
        <f>$P$20</f>
        <v>32049</v>
      </c>
      <c r="D40" s="50">
        <f>$Q$20</f>
        <v>30196.117370943</v>
      </c>
      <c r="E40" s="50">
        <f>$R$20</f>
        <v>28464.03483667145</v>
      </c>
      <c r="F40" s="50">
        <f>$S$20</f>
        <v>29217.703040081</v>
      </c>
      <c r="T40" s="106"/>
      <c r="U40" s="106"/>
      <c r="V40" s="106"/>
      <c r="W40" s="106"/>
      <c r="X40" s="106"/>
      <c r="Y40" s="106"/>
      <c r="Z40" s="106"/>
      <c r="AA40" s="106"/>
      <c r="AB40" s="106"/>
    </row>
    <row r="41" spans="1:39" x14ac:dyDescent="0.3">
      <c r="A41" s="63"/>
      <c r="B41" s="1" t="s">
        <v>79</v>
      </c>
      <c r="C41" s="50">
        <f>$W$20</f>
        <v>30859.726565174002</v>
      </c>
      <c r="D41" s="50">
        <f>$X$20</f>
        <v>31742</v>
      </c>
      <c r="E41" s="50">
        <f>$Y$20</f>
        <v>31100</v>
      </c>
      <c r="F41" s="50">
        <f>$Z$20</f>
        <v>29729</v>
      </c>
    </row>
    <row r="42" spans="1:39" x14ac:dyDescent="0.3">
      <c r="A42" s="63"/>
      <c r="B42" s="1" t="s">
        <v>80</v>
      </c>
      <c r="C42" s="50">
        <f>$AD$20</f>
        <v>32957.815000000002</v>
      </c>
      <c r="D42" s="50">
        <f>$AE$20</f>
        <v>33820.252999999997</v>
      </c>
      <c r="E42" s="50">
        <f>$AF$20</f>
        <v>33488.079823647</v>
      </c>
      <c r="F42" s="50">
        <f>$AG$20</f>
        <v>33003.9002148</v>
      </c>
    </row>
    <row r="43" spans="1:39" x14ac:dyDescent="0.3">
      <c r="A43" s="15"/>
      <c r="B43" s="15"/>
      <c r="C43" s="15"/>
      <c r="D43" s="15"/>
      <c r="E43" s="15"/>
      <c r="F43" s="15"/>
    </row>
    <row r="44" spans="1:39" x14ac:dyDescent="0.3">
      <c r="A44" s="63"/>
      <c r="B44" s="64"/>
      <c r="C44" s="65">
        <v>45627</v>
      </c>
      <c r="D44" s="65">
        <v>45748</v>
      </c>
      <c r="E44" s="65">
        <v>45992</v>
      </c>
      <c r="F44" s="65">
        <v>46113</v>
      </c>
    </row>
    <row r="45" spans="1:39" x14ac:dyDescent="0.3">
      <c r="A45" s="62" t="s">
        <v>7</v>
      </c>
      <c r="B45" s="1" t="s">
        <v>77</v>
      </c>
      <c r="C45" s="50">
        <f>$B$21</f>
        <v>35934.658900307491</v>
      </c>
      <c r="D45" s="50">
        <f>$C$21</f>
        <v>37233</v>
      </c>
      <c r="E45" s="50">
        <f>$D$21</f>
        <v>38645</v>
      </c>
      <c r="F45" s="50">
        <f>$E$21</f>
        <v>37602</v>
      </c>
    </row>
    <row r="46" spans="1:39" x14ac:dyDescent="0.3">
      <c r="A46" s="63"/>
      <c r="B46" s="1" t="s">
        <v>50</v>
      </c>
      <c r="C46" s="50">
        <f>$I$21</f>
        <v>10290.772193500001</v>
      </c>
      <c r="D46" s="50">
        <f>$J$21</f>
        <v>10949.562435200001</v>
      </c>
      <c r="E46" s="50">
        <f>$K$21</f>
        <v>10996.263413299999</v>
      </c>
      <c r="F46" s="50">
        <f>$L$21</f>
        <v>10638.613056599999</v>
      </c>
    </row>
    <row r="47" spans="1:39" x14ac:dyDescent="0.3">
      <c r="A47" s="63"/>
      <c r="B47" s="1" t="s">
        <v>78</v>
      </c>
      <c r="C47" s="50">
        <f>$P$21</f>
        <v>26216</v>
      </c>
      <c r="D47" s="50">
        <f>$Q$21</f>
        <v>25650.589189640999</v>
      </c>
      <c r="E47" s="50">
        <f>$R$21</f>
        <v>23738.49909598528</v>
      </c>
      <c r="F47" s="50">
        <f>$S$21</f>
        <v>24744.661244339</v>
      </c>
    </row>
    <row r="48" spans="1:39" x14ac:dyDescent="0.3">
      <c r="A48" s="63"/>
      <c r="B48" s="1" t="s">
        <v>79</v>
      </c>
      <c r="C48" s="50">
        <f>$W$21</f>
        <v>24316.478203499999</v>
      </c>
      <c r="D48" s="50">
        <f>$X$21</f>
        <v>27091</v>
      </c>
      <c r="E48" s="50">
        <f>$Y$21</f>
        <v>25750</v>
      </c>
      <c r="F48" s="50">
        <f>$Z$21</f>
        <v>24379</v>
      </c>
    </row>
    <row r="49" spans="1:6" x14ac:dyDescent="0.3">
      <c r="A49" s="63"/>
      <c r="B49" s="1" t="s">
        <v>80</v>
      </c>
      <c r="C49" s="50">
        <f>$AD$21</f>
        <v>26683.360700500001</v>
      </c>
      <c r="D49" s="50">
        <f>$AE$21</f>
        <v>27358.776999999998</v>
      </c>
      <c r="E49" s="50">
        <f>$AF$21</f>
        <v>26839.116000000002</v>
      </c>
      <c r="F49" s="50">
        <f>$AG$21</f>
        <v>26506.298999999999</v>
      </c>
    </row>
    <row r="50" spans="1:6" x14ac:dyDescent="0.3">
      <c r="A50" s="15"/>
      <c r="B50" s="15"/>
      <c r="C50" s="15"/>
      <c r="D50" s="15"/>
      <c r="E50" s="15"/>
      <c r="F50" s="15"/>
    </row>
    <row r="51" spans="1:6" x14ac:dyDescent="0.3">
      <c r="A51" s="63"/>
      <c r="B51" s="64"/>
      <c r="C51" s="65">
        <v>45627</v>
      </c>
      <c r="D51" s="65">
        <v>45748</v>
      </c>
      <c r="E51" s="65">
        <v>45992</v>
      </c>
      <c r="F51" s="65">
        <v>46113</v>
      </c>
    </row>
    <row r="52" spans="1:6" x14ac:dyDescent="0.3">
      <c r="A52" s="62" t="s">
        <v>8</v>
      </c>
      <c r="B52" s="1" t="s">
        <v>77</v>
      </c>
      <c r="C52" s="50">
        <f>$B$22</f>
        <v>31992.415184283291</v>
      </c>
      <c r="D52" s="50">
        <f>$C$22</f>
        <v>32248</v>
      </c>
      <c r="E52" s="50">
        <f>$D$22</f>
        <v>32094.400000000001</v>
      </c>
      <c r="F52" s="50">
        <f>$E$22</f>
        <v>32161.9</v>
      </c>
    </row>
    <row r="53" spans="1:6" x14ac:dyDescent="0.3">
      <c r="A53" s="63"/>
      <c r="B53" s="1" t="s">
        <v>50</v>
      </c>
      <c r="C53" s="50">
        <f>$I$22</f>
        <v>10833.772026799999</v>
      </c>
      <c r="D53" s="50">
        <f>$J$22</f>
        <v>11185.984152899999</v>
      </c>
      <c r="E53" s="50">
        <f>$K$22</f>
        <v>11229.6987653</v>
      </c>
      <c r="F53" s="50">
        <f>$L$22</f>
        <v>10864.1477299</v>
      </c>
    </row>
    <row r="54" spans="1:6" x14ac:dyDescent="0.3">
      <c r="A54" s="63"/>
      <c r="B54" s="1" t="s">
        <v>78</v>
      </c>
      <c r="C54" s="50">
        <f>$P$22</f>
        <v>20404</v>
      </c>
      <c r="D54" s="50">
        <f>$Q$22</f>
        <v>20613.923648314001</v>
      </c>
      <c r="E54" s="50">
        <f>$R$22</f>
        <v>21171</v>
      </c>
      <c r="F54" s="50">
        <f>$S$22</f>
        <v>21966.241784842001</v>
      </c>
    </row>
    <row r="55" spans="1:6" x14ac:dyDescent="0.3">
      <c r="A55" s="63"/>
      <c r="B55" s="1" t="s">
        <v>79</v>
      </c>
      <c r="C55" s="50">
        <f>$W$22</f>
        <v>21607.515931599999</v>
      </c>
      <c r="D55" s="50">
        <f>$X$22</f>
        <v>21550</v>
      </c>
      <c r="E55" s="50">
        <f>$Y$22</f>
        <v>21787</v>
      </c>
      <c r="F55" s="50">
        <f>$Z$22</f>
        <v>21646</v>
      </c>
    </row>
    <row r="56" spans="1:6" x14ac:dyDescent="0.3">
      <c r="A56" s="63"/>
      <c r="B56" s="1" t="s">
        <v>80</v>
      </c>
      <c r="C56" s="50">
        <f>$AD$22</f>
        <v>25550.823588200001</v>
      </c>
      <c r="D56" s="50">
        <f>$AE$22</f>
        <v>25381</v>
      </c>
      <c r="E56" s="50">
        <f>$AF$22</f>
        <v>25269.567234563001</v>
      </c>
      <c r="F56" s="50">
        <f>$AG$22</f>
        <v>25420.2152652</v>
      </c>
    </row>
  </sheetData>
  <mergeCells count="41">
    <mergeCell ref="AJ31:AM31"/>
    <mergeCell ref="C2:E2"/>
    <mergeCell ref="F2:F3"/>
    <mergeCell ref="A2:A3"/>
    <mergeCell ref="A1:F1"/>
    <mergeCell ref="J2:L2"/>
    <mergeCell ref="M2:M3"/>
    <mergeCell ref="H2:H3"/>
    <mergeCell ref="H1:M1"/>
    <mergeCell ref="AC1:AH1"/>
    <mergeCell ref="AC2:AC3"/>
    <mergeCell ref="AE2:AG2"/>
    <mergeCell ref="AH2:AH3"/>
    <mergeCell ref="O2:O3"/>
    <mergeCell ref="Q2:S2"/>
    <mergeCell ref="T2:T3"/>
    <mergeCell ref="O17:T17"/>
    <mergeCell ref="V17:AA17"/>
    <mergeCell ref="AC17:AH17"/>
    <mergeCell ref="O1:T1"/>
    <mergeCell ref="V1:AA1"/>
    <mergeCell ref="V2:V3"/>
    <mergeCell ref="X2:Z2"/>
    <mergeCell ref="AA2:AA3"/>
    <mergeCell ref="A18:A19"/>
    <mergeCell ref="F18:F19"/>
    <mergeCell ref="H18:H19"/>
    <mergeCell ref="A17:F17"/>
    <mergeCell ref="H17:M17"/>
    <mergeCell ref="B18:E18"/>
    <mergeCell ref="I18:L18"/>
    <mergeCell ref="AH18:AH19"/>
    <mergeCell ref="W18:Z18"/>
    <mergeCell ref="AD18:AG18"/>
    <mergeCell ref="M18:M19"/>
    <mergeCell ref="O18:O19"/>
    <mergeCell ref="T18:T19"/>
    <mergeCell ref="V18:V19"/>
    <mergeCell ref="P18:S18"/>
    <mergeCell ref="AA18:AA19"/>
    <mergeCell ref="AC18:AC19"/>
  </mergeCells>
  <conditionalFormatting sqref="F4:F6">
    <cfRule type="dataBar" priority="20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{EE9A56AF-43E9-4DC2-84FC-DBC4A3140214}</x14:id>
        </ext>
      </extLst>
    </cfRule>
  </conditionalFormatting>
  <conditionalFormatting sqref="F7">
    <cfRule type="dataBar" priority="20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{ECC51C60-3BF2-4DA1-8D35-7D9F609A55FC}</x14:id>
        </ext>
      </extLst>
    </cfRule>
  </conditionalFormatting>
  <conditionalFormatting sqref="F8">
    <cfRule type="dataBar" priority="206">
      <dataBar>
        <cfvo type="min"/>
        <cfvo type="max"/>
        <color rgb="FFFF6600"/>
      </dataBar>
      <extLst>
        <ext xmlns:x14="http://schemas.microsoft.com/office/spreadsheetml/2009/9/main" uri="{B025F937-C7B1-47D3-B67F-A62EFF666E3E}">
          <x14:id>{96B4D079-158A-431A-9876-2849C2438817}</x14:id>
        </ext>
      </extLst>
    </cfRule>
  </conditionalFormatting>
  <conditionalFormatting sqref="M4:M6">
    <cfRule type="dataBar" priority="20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{4A293925-211D-4BA0-9B79-388FA338231F}</x14:id>
        </ext>
      </extLst>
    </cfRule>
  </conditionalFormatting>
  <conditionalFormatting sqref="M7">
    <cfRule type="dataBar" priority="20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{B73FD77E-8673-452E-B280-2942667FE0AE}</x14:id>
        </ext>
      </extLst>
    </cfRule>
  </conditionalFormatting>
  <conditionalFormatting sqref="M8">
    <cfRule type="dataBar" priority="203">
      <dataBar>
        <cfvo type="min"/>
        <cfvo type="max"/>
        <color rgb="FFFF6600"/>
      </dataBar>
      <extLst>
        <ext xmlns:x14="http://schemas.microsoft.com/office/spreadsheetml/2009/9/main" uri="{B025F937-C7B1-47D3-B67F-A62EFF666E3E}">
          <x14:id>{AEAFDFF2-939B-4CE4-B559-7B20FE326237}</x14:id>
        </ext>
      </extLst>
    </cfRule>
  </conditionalFormatting>
  <conditionalFormatting sqref="T4:T6">
    <cfRule type="dataBar" priority="202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{9419AF6A-CAD9-4391-9611-914C03E3C101}</x14:id>
        </ext>
      </extLst>
    </cfRule>
  </conditionalFormatting>
  <conditionalFormatting sqref="T7">
    <cfRule type="dataBar" priority="201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{E7CB4F5B-1CBF-402A-910D-64446CDCE392}</x14:id>
        </ext>
      </extLst>
    </cfRule>
  </conditionalFormatting>
  <conditionalFormatting sqref="T8">
    <cfRule type="dataBar" priority="200">
      <dataBar>
        <cfvo type="min"/>
        <cfvo type="max"/>
        <color rgb="FFFF6600"/>
      </dataBar>
      <extLst>
        <ext xmlns:x14="http://schemas.microsoft.com/office/spreadsheetml/2009/9/main" uri="{B025F937-C7B1-47D3-B67F-A62EFF666E3E}">
          <x14:id>{F8C6E2FF-EFB8-428B-9DF3-1E3BBC743875}</x14:id>
        </ext>
      </extLst>
    </cfRule>
  </conditionalFormatting>
  <conditionalFormatting sqref="AA4:AA6">
    <cfRule type="dataBar" priority="19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{4BFED6E3-2AD4-4C64-8660-A5DA0C1DFCD3}</x14:id>
        </ext>
      </extLst>
    </cfRule>
  </conditionalFormatting>
  <conditionalFormatting sqref="AA7">
    <cfRule type="dataBar" priority="19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{DCBB8E0E-3BA9-4A13-9F44-88C01A84F777}</x14:id>
        </ext>
      </extLst>
    </cfRule>
  </conditionalFormatting>
  <conditionalFormatting sqref="AA8">
    <cfRule type="dataBar" priority="197">
      <dataBar>
        <cfvo type="min"/>
        <cfvo type="max"/>
        <color rgb="FFFF6600"/>
      </dataBar>
      <extLst>
        <ext xmlns:x14="http://schemas.microsoft.com/office/spreadsheetml/2009/9/main" uri="{B025F937-C7B1-47D3-B67F-A62EFF666E3E}">
          <x14:id>{230149A1-DBEA-4A9D-AC2F-2DA71ED44A6B}</x14:id>
        </ext>
      </extLst>
    </cfRule>
  </conditionalFormatting>
  <conditionalFormatting sqref="AH4:AH6">
    <cfRule type="dataBar" priority="19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{DFE2B1A8-B9D5-4D70-B623-19966CAD5078}</x14:id>
        </ext>
      </extLst>
    </cfRule>
  </conditionalFormatting>
  <conditionalFormatting sqref="AH7">
    <cfRule type="dataBar" priority="19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{7BDC2557-B4D2-4DFC-AC25-D406893926F7}</x14:id>
        </ext>
      </extLst>
    </cfRule>
  </conditionalFormatting>
  <conditionalFormatting sqref="AH8">
    <cfRule type="dataBar" priority="194">
      <dataBar>
        <cfvo type="min"/>
        <cfvo type="max"/>
        <color rgb="FFFF6600"/>
      </dataBar>
      <extLst>
        <ext xmlns:x14="http://schemas.microsoft.com/office/spreadsheetml/2009/9/main" uri="{B025F937-C7B1-47D3-B67F-A62EFF666E3E}">
          <x14:id>{C6ACDDC1-09C0-4969-BF55-5EEF17E2A190}</x14:id>
        </ext>
      </extLst>
    </cfRule>
  </conditionalFormatting>
  <conditionalFormatting sqref="F20:F22">
    <cfRule type="dataBar" priority="193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{83C9D979-6189-49DF-8B56-DE8909281E05}</x14:id>
        </ext>
      </extLst>
    </cfRule>
  </conditionalFormatting>
  <conditionalFormatting sqref="F25:F27">
    <cfRule type="dataBar" priority="191">
      <dataBar>
        <cfvo type="min"/>
        <cfvo type="max"/>
        <color rgb="FFFF6600"/>
      </dataBar>
      <extLst>
        <ext xmlns:x14="http://schemas.microsoft.com/office/spreadsheetml/2009/9/main" uri="{B025F937-C7B1-47D3-B67F-A62EFF666E3E}">
          <x14:id>{1A2CCD73-0E65-4F04-A704-2730583E4737}</x14:id>
        </ext>
      </extLst>
    </cfRule>
  </conditionalFormatting>
  <conditionalFormatting sqref="F32">
    <cfRule type="dataBar" priority="16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{D0039856-F594-41EB-B456-C37068205552}</x14:id>
        </ext>
      </extLst>
    </cfRule>
  </conditionalFormatting>
  <conditionalFormatting sqref="AA32">
    <cfRule type="dataBar" priority="14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{09E91862-EFA8-40D8-A132-809E5C4306E9}</x14:id>
        </ext>
      </extLst>
    </cfRule>
  </conditionalFormatting>
  <conditionalFormatting sqref="M32">
    <cfRule type="dataBar" priority="15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{6E2DA182-D7EC-4C1F-A5FD-753216956DEB}</x14:id>
        </ext>
      </extLst>
    </cfRule>
  </conditionalFormatting>
  <conditionalFormatting sqref="T32">
    <cfRule type="dataBar" priority="152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{A014B450-0E21-4DB6-AE4E-D1879BF4C4D7}</x14:id>
        </ext>
      </extLst>
    </cfRule>
  </conditionalFormatting>
  <conditionalFormatting sqref="AH32">
    <cfRule type="dataBar" priority="14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{7535B391-2D0A-4ACF-BE76-7DAF095FBB20}</x14:id>
        </ext>
      </extLst>
    </cfRule>
  </conditionalFormatting>
  <conditionalFormatting sqref="F20">
    <cfRule type="iconSet" priority="131">
      <iconSet iconSet="3Arrows">
        <cfvo type="percent" val="0"/>
        <cfvo type="num" val="0" gte="0"/>
        <cfvo type="num" val="0" gte="0"/>
      </iconSet>
    </cfRule>
  </conditionalFormatting>
  <conditionalFormatting sqref="F21">
    <cfRule type="iconSet" priority="130">
      <iconSet iconSet="3Arrows">
        <cfvo type="percent" val="0"/>
        <cfvo type="num" val="0" gte="0"/>
        <cfvo type="num" val="0" gte="0"/>
      </iconSet>
    </cfRule>
  </conditionalFormatting>
  <conditionalFormatting sqref="F23">
    <cfRule type="dataBar" priority="12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{0EFA42FD-1ABF-4029-9D4B-46F6685DDC67}</x14:id>
        </ext>
      </extLst>
    </cfRule>
  </conditionalFormatting>
  <conditionalFormatting sqref="F23">
    <cfRule type="iconSet" priority="128">
      <iconSet iconSet="3Arrows">
        <cfvo type="percent" val="0"/>
        <cfvo type="num" val="0" gte="0"/>
        <cfvo type="num" val="0" gte="0"/>
      </iconSet>
    </cfRule>
  </conditionalFormatting>
  <conditionalFormatting sqref="F24">
    <cfRule type="dataBar" priority="12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{74295EEE-2317-4EE0-8B68-6320790386E3}</x14:id>
        </ext>
      </extLst>
    </cfRule>
  </conditionalFormatting>
  <conditionalFormatting sqref="F24">
    <cfRule type="iconSet" priority="126">
      <iconSet iconSet="3Arrows">
        <cfvo type="percent" val="0"/>
        <cfvo type="num" val="0" gte="0"/>
        <cfvo type="num" val="0" gte="0"/>
      </iconSet>
    </cfRule>
  </conditionalFormatting>
  <conditionalFormatting sqref="F30">
    <cfRule type="dataBar" priority="123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{BC868A88-D161-4788-B94C-406DDC37F57E}</x14:id>
        </ext>
      </extLst>
    </cfRule>
  </conditionalFormatting>
  <conditionalFormatting sqref="F30">
    <cfRule type="iconSet" priority="122">
      <iconSet iconSet="3Arrows">
        <cfvo type="percent" val="0"/>
        <cfvo type="num" val="0" gte="0"/>
        <cfvo type="num" val="0" gte="0"/>
      </iconSet>
    </cfRule>
  </conditionalFormatting>
  <conditionalFormatting sqref="F29">
    <cfRule type="dataBar" priority="121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{2A741ADF-BADB-4308-B9BC-72E80D6F7339}</x14:id>
        </ext>
      </extLst>
    </cfRule>
  </conditionalFormatting>
  <conditionalFormatting sqref="F29">
    <cfRule type="iconSet" priority="120">
      <iconSet iconSet="3Arrows">
        <cfvo type="percent" val="0"/>
        <cfvo type="num" val="0" gte="0"/>
        <cfvo type="num" val="0" gte="0"/>
      </iconSet>
    </cfRule>
  </conditionalFormatting>
  <conditionalFormatting sqref="F22">
    <cfRule type="iconSet" priority="105">
      <iconSet iconSet="3Arrows">
        <cfvo type="percent" val="0"/>
        <cfvo type="num" val="0" gte="0"/>
        <cfvo type="num" val="0" gte="0"/>
      </iconSet>
    </cfRule>
  </conditionalFormatting>
  <conditionalFormatting sqref="M20:M22">
    <cfRule type="dataBar" priority="9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{C9F9DF59-85E0-45D9-BE72-69E27B9E27C3}</x14:id>
        </ext>
      </extLst>
    </cfRule>
  </conditionalFormatting>
  <conditionalFormatting sqref="M20">
    <cfRule type="iconSet" priority="88">
      <iconSet iconSet="3Arrows">
        <cfvo type="percent" val="0"/>
        <cfvo type="num" val="0" gte="0"/>
        <cfvo type="num" val="0" gte="0"/>
      </iconSet>
    </cfRule>
  </conditionalFormatting>
  <conditionalFormatting sqref="M21">
    <cfRule type="iconSet" priority="87">
      <iconSet iconSet="3Arrows">
        <cfvo type="percent" val="0"/>
        <cfvo type="num" val="0" gte="0"/>
        <cfvo type="num" val="0" gte="0"/>
      </iconSet>
    </cfRule>
  </conditionalFormatting>
  <conditionalFormatting sqref="M23">
    <cfRule type="dataBar" priority="8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{C4963552-9AB4-46E6-AEF3-D7707BD6CC39}</x14:id>
        </ext>
      </extLst>
    </cfRule>
  </conditionalFormatting>
  <conditionalFormatting sqref="M23">
    <cfRule type="iconSet" priority="85">
      <iconSet iconSet="3Arrows">
        <cfvo type="percent" val="0"/>
        <cfvo type="num" val="0" gte="0"/>
        <cfvo type="num" val="0" gte="0"/>
      </iconSet>
    </cfRule>
  </conditionalFormatting>
  <conditionalFormatting sqref="M24">
    <cfRule type="dataBar" priority="8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{9EB974BD-C172-4CB5-9425-792B607F7BDE}</x14:id>
        </ext>
      </extLst>
    </cfRule>
  </conditionalFormatting>
  <conditionalFormatting sqref="M24">
    <cfRule type="iconSet" priority="83">
      <iconSet iconSet="3Arrows">
        <cfvo type="percent" val="0"/>
        <cfvo type="num" val="0" gte="0"/>
        <cfvo type="num" val="0" gte="0"/>
      </iconSet>
    </cfRule>
  </conditionalFormatting>
  <conditionalFormatting sqref="M30">
    <cfRule type="dataBar" priority="82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{2074A2C7-594F-4D3F-A8BE-285736920B02}</x14:id>
        </ext>
      </extLst>
    </cfRule>
  </conditionalFormatting>
  <conditionalFormatting sqref="M30">
    <cfRule type="iconSet" priority="81">
      <iconSet iconSet="3Arrows">
        <cfvo type="percent" val="0"/>
        <cfvo type="num" val="0" gte="0"/>
        <cfvo type="num" val="0" gte="0"/>
      </iconSet>
    </cfRule>
  </conditionalFormatting>
  <conditionalFormatting sqref="M29">
    <cfRule type="dataBar" priority="8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{9E1398A0-35BC-41D0-92DD-BAEEFCEC9277}</x14:id>
        </ext>
      </extLst>
    </cfRule>
  </conditionalFormatting>
  <conditionalFormatting sqref="M29">
    <cfRule type="iconSet" priority="79">
      <iconSet iconSet="3Arrows">
        <cfvo type="percent" val="0"/>
        <cfvo type="num" val="0" gte="0"/>
        <cfvo type="num" val="0" gte="0"/>
      </iconSet>
    </cfRule>
  </conditionalFormatting>
  <conditionalFormatting sqref="M22">
    <cfRule type="iconSet" priority="77">
      <iconSet iconSet="3Arrows">
        <cfvo type="percent" val="0"/>
        <cfvo type="num" val="0" gte="0"/>
        <cfvo type="num" val="0" gte="0"/>
      </iconSet>
    </cfRule>
  </conditionalFormatting>
  <conditionalFormatting sqref="T20:T22">
    <cfRule type="dataBar" priority="7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{D17CD822-6BBC-4800-A6BC-DFB2E4DFC3BB}</x14:id>
        </ext>
      </extLst>
    </cfRule>
  </conditionalFormatting>
  <conditionalFormatting sqref="T20">
    <cfRule type="iconSet" priority="74">
      <iconSet iconSet="3Arrows">
        <cfvo type="percent" val="0"/>
        <cfvo type="num" val="0" gte="0"/>
        <cfvo type="num" val="0" gte="0"/>
      </iconSet>
    </cfRule>
  </conditionalFormatting>
  <conditionalFormatting sqref="T21">
    <cfRule type="iconSet" priority="73">
      <iconSet iconSet="3Arrows">
        <cfvo type="percent" val="0"/>
        <cfvo type="num" val="0" gte="0"/>
        <cfvo type="num" val="0" gte="0"/>
      </iconSet>
    </cfRule>
  </conditionalFormatting>
  <conditionalFormatting sqref="T23">
    <cfRule type="dataBar" priority="72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{2D7B6077-F2E3-4C91-AE22-40D6D25277DF}</x14:id>
        </ext>
      </extLst>
    </cfRule>
  </conditionalFormatting>
  <conditionalFormatting sqref="T23">
    <cfRule type="iconSet" priority="71">
      <iconSet iconSet="3Arrows">
        <cfvo type="percent" val="0"/>
        <cfvo type="num" val="0" gte="0"/>
        <cfvo type="num" val="0" gte="0"/>
      </iconSet>
    </cfRule>
  </conditionalFormatting>
  <conditionalFormatting sqref="T24">
    <cfRule type="dataBar" priority="7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{B87181D3-B734-4209-A7B9-2F865942073D}</x14:id>
        </ext>
      </extLst>
    </cfRule>
  </conditionalFormatting>
  <conditionalFormatting sqref="T24">
    <cfRule type="iconSet" priority="69">
      <iconSet iconSet="3Arrows">
        <cfvo type="percent" val="0"/>
        <cfvo type="num" val="0" gte="0"/>
        <cfvo type="num" val="0" gte="0"/>
      </iconSet>
    </cfRule>
  </conditionalFormatting>
  <conditionalFormatting sqref="T30">
    <cfRule type="dataBar" priority="6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{96EDDDDB-7BE9-43E9-BCD5-A4E72800BAC8}</x14:id>
        </ext>
      </extLst>
    </cfRule>
  </conditionalFormatting>
  <conditionalFormatting sqref="T30">
    <cfRule type="iconSet" priority="67">
      <iconSet iconSet="3Arrows">
        <cfvo type="percent" val="0"/>
        <cfvo type="num" val="0" gte="0"/>
        <cfvo type="num" val="0" gte="0"/>
      </iconSet>
    </cfRule>
  </conditionalFormatting>
  <conditionalFormatting sqref="T29">
    <cfRule type="dataBar" priority="6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{4533FE1E-23BC-4185-84AE-4A11A8D04435}</x14:id>
        </ext>
      </extLst>
    </cfRule>
  </conditionalFormatting>
  <conditionalFormatting sqref="T29">
    <cfRule type="iconSet" priority="65">
      <iconSet iconSet="3Arrows">
        <cfvo type="percent" val="0"/>
        <cfvo type="num" val="0" gte="0"/>
        <cfvo type="num" val="0" gte="0"/>
      </iconSet>
    </cfRule>
  </conditionalFormatting>
  <conditionalFormatting sqref="T22">
    <cfRule type="iconSet" priority="63">
      <iconSet iconSet="3Arrows">
        <cfvo type="percent" val="0"/>
        <cfvo type="num" val="0" gte="0"/>
        <cfvo type="num" val="0" gte="0"/>
      </iconSet>
    </cfRule>
  </conditionalFormatting>
  <conditionalFormatting sqref="AA20:AA22">
    <cfRule type="dataBar" priority="62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{915A4F61-E31B-40CA-B419-3384639AADD7}</x14:id>
        </ext>
      </extLst>
    </cfRule>
  </conditionalFormatting>
  <conditionalFormatting sqref="AA20">
    <cfRule type="iconSet" priority="60">
      <iconSet iconSet="3Arrows">
        <cfvo type="percent" val="0"/>
        <cfvo type="num" val="0" gte="0"/>
        <cfvo type="num" val="0" gte="0"/>
      </iconSet>
    </cfRule>
  </conditionalFormatting>
  <conditionalFormatting sqref="AA21">
    <cfRule type="iconSet" priority="59">
      <iconSet iconSet="3Arrows">
        <cfvo type="percent" val="0"/>
        <cfvo type="num" val="0" gte="0"/>
        <cfvo type="num" val="0" gte="0"/>
      </iconSet>
    </cfRule>
  </conditionalFormatting>
  <conditionalFormatting sqref="AA23">
    <cfRule type="dataBar" priority="5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{BA4E627D-358E-4856-9945-63D2FB50B9EE}</x14:id>
        </ext>
      </extLst>
    </cfRule>
  </conditionalFormatting>
  <conditionalFormatting sqref="AA23">
    <cfRule type="iconSet" priority="57">
      <iconSet iconSet="3Arrows">
        <cfvo type="percent" val="0"/>
        <cfvo type="num" val="0" gte="0"/>
        <cfvo type="num" val="0" gte="0"/>
      </iconSet>
    </cfRule>
  </conditionalFormatting>
  <conditionalFormatting sqref="AA24">
    <cfRule type="dataBar" priority="5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{B6ED8CEB-28F8-49FF-A1E9-D51C2DF57D05}</x14:id>
        </ext>
      </extLst>
    </cfRule>
  </conditionalFormatting>
  <conditionalFormatting sqref="AA24">
    <cfRule type="iconSet" priority="55">
      <iconSet iconSet="3Arrows">
        <cfvo type="percent" val="0"/>
        <cfvo type="num" val="0" gte="0"/>
        <cfvo type="num" val="0" gte="0"/>
      </iconSet>
    </cfRule>
  </conditionalFormatting>
  <conditionalFormatting sqref="AA30">
    <cfRule type="dataBar" priority="5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{ABF80581-B5AF-42A0-A8BD-2902F85CB7D4}</x14:id>
        </ext>
      </extLst>
    </cfRule>
  </conditionalFormatting>
  <conditionalFormatting sqref="AA30">
    <cfRule type="iconSet" priority="53">
      <iconSet iconSet="3Arrows">
        <cfvo type="percent" val="0"/>
        <cfvo type="num" val="0" gte="0"/>
        <cfvo type="num" val="0" gte="0"/>
      </iconSet>
    </cfRule>
  </conditionalFormatting>
  <conditionalFormatting sqref="AA29">
    <cfRule type="dataBar" priority="52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{EDD07896-EA79-453F-AC53-3BA768C58551}</x14:id>
        </ext>
      </extLst>
    </cfRule>
  </conditionalFormatting>
  <conditionalFormatting sqref="AA29">
    <cfRule type="iconSet" priority="51">
      <iconSet iconSet="3Arrows">
        <cfvo type="percent" val="0"/>
        <cfvo type="num" val="0" gte="0"/>
        <cfvo type="num" val="0" gte="0"/>
      </iconSet>
    </cfRule>
  </conditionalFormatting>
  <conditionalFormatting sqref="AA22">
    <cfRule type="iconSet" priority="49">
      <iconSet iconSet="3Arrows">
        <cfvo type="percent" val="0"/>
        <cfvo type="num" val="0" gte="0"/>
        <cfvo type="num" val="0" gte="0"/>
      </iconSet>
    </cfRule>
  </conditionalFormatting>
  <conditionalFormatting sqref="AH20:AH22">
    <cfRule type="dataBar" priority="4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{D1E24024-784F-4D70-A3B1-A66D01B2588C}</x14:id>
        </ext>
      </extLst>
    </cfRule>
  </conditionalFormatting>
  <conditionalFormatting sqref="AH20">
    <cfRule type="iconSet" priority="46">
      <iconSet iconSet="3Arrows">
        <cfvo type="percent" val="0"/>
        <cfvo type="num" val="0" gte="0"/>
        <cfvo type="num" val="0" gte="0"/>
      </iconSet>
    </cfRule>
  </conditionalFormatting>
  <conditionalFormatting sqref="AH21">
    <cfRule type="iconSet" priority="45">
      <iconSet iconSet="3Arrows">
        <cfvo type="percent" val="0"/>
        <cfvo type="num" val="0" gte="0"/>
        <cfvo type="num" val="0" gte="0"/>
      </iconSet>
    </cfRule>
  </conditionalFormatting>
  <conditionalFormatting sqref="AH23">
    <cfRule type="dataBar" priority="4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{A171C32D-1EE6-4FC6-B02E-8CEBDD358535}</x14:id>
        </ext>
      </extLst>
    </cfRule>
  </conditionalFormatting>
  <conditionalFormatting sqref="AH23">
    <cfRule type="iconSet" priority="43">
      <iconSet iconSet="3Arrows">
        <cfvo type="percent" val="0"/>
        <cfvo type="num" val="0" gte="0"/>
        <cfvo type="num" val="0" gte="0"/>
      </iconSet>
    </cfRule>
  </conditionalFormatting>
  <conditionalFormatting sqref="AH24">
    <cfRule type="dataBar" priority="42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{18AD48E0-459F-4120-99F5-9B972DF39983}</x14:id>
        </ext>
      </extLst>
    </cfRule>
  </conditionalFormatting>
  <conditionalFormatting sqref="AH24">
    <cfRule type="iconSet" priority="41">
      <iconSet iconSet="3Arrows">
        <cfvo type="percent" val="0"/>
        <cfvo type="num" val="0" gte="0"/>
        <cfvo type="num" val="0" gte="0"/>
      </iconSet>
    </cfRule>
  </conditionalFormatting>
  <conditionalFormatting sqref="AH30">
    <cfRule type="dataBar" priority="4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{F8201312-5395-4E38-A3DF-8CA06D97FC35}</x14:id>
        </ext>
      </extLst>
    </cfRule>
  </conditionalFormatting>
  <conditionalFormatting sqref="AH30">
    <cfRule type="iconSet" priority="39">
      <iconSet iconSet="3Arrows">
        <cfvo type="percent" val="0"/>
        <cfvo type="num" val="0" gte="0"/>
        <cfvo type="num" val="0" gte="0"/>
      </iconSet>
    </cfRule>
  </conditionalFormatting>
  <conditionalFormatting sqref="AH29">
    <cfRule type="dataBar" priority="3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{AC0508F2-CA27-4D76-BAF1-A201F4BDC58D}</x14:id>
        </ext>
      </extLst>
    </cfRule>
  </conditionalFormatting>
  <conditionalFormatting sqref="AH29">
    <cfRule type="iconSet" priority="37">
      <iconSet iconSet="3Arrows">
        <cfvo type="percent" val="0"/>
        <cfvo type="num" val="0" gte="0"/>
        <cfvo type="num" val="0" gte="0"/>
      </iconSet>
    </cfRule>
  </conditionalFormatting>
  <conditionalFormatting sqref="AH22">
    <cfRule type="iconSet" priority="35">
      <iconSet iconSet="3Arrows">
        <cfvo type="percent" val="0"/>
        <cfvo type="num" val="0" gte="0"/>
        <cfvo type="num" val="0" gte="0"/>
      </iconSet>
    </cfRule>
  </conditionalFormatting>
  <conditionalFormatting sqref="AM34">
    <cfRule type="dataBar" priority="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{67C4478C-BFCD-4CC1-B691-EB99102547B4}</x14:id>
        </ext>
      </extLst>
    </cfRule>
  </conditionalFormatting>
  <conditionalFormatting sqref="AM34">
    <cfRule type="iconSet" priority="15">
      <iconSet iconSet="3Arrows">
        <cfvo type="percent" val="0"/>
        <cfvo type="num" val="0" gte="0"/>
        <cfvo type="num" val="0" gte="0"/>
      </iconSet>
    </cfRule>
  </conditionalFormatting>
  <conditionalFormatting sqref="M25:M26">
    <cfRule type="dataBar" priority="14">
      <dataBar>
        <cfvo type="min"/>
        <cfvo type="max"/>
        <color rgb="FFFF6600"/>
      </dataBar>
      <extLst>
        <ext xmlns:x14="http://schemas.microsoft.com/office/spreadsheetml/2009/9/main" uri="{B025F937-C7B1-47D3-B67F-A62EFF666E3E}">
          <x14:id>{7A7BEB3B-5A81-46C9-8749-813689625356}</x14:id>
        </ext>
      </extLst>
    </cfRule>
  </conditionalFormatting>
  <conditionalFormatting sqref="T25">
    <cfRule type="dataBar" priority="13">
      <dataBar>
        <cfvo type="min"/>
        <cfvo type="max"/>
        <color rgb="FFFF6600"/>
      </dataBar>
      <extLst>
        <ext xmlns:x14="http://schemas.microsoft.com/office/spreadsheetml/2009/9/main" uri="{B025F937-C7B1-47D3-B67F-A62EFF666E3E}">
          <x14:id>{CBEE5FF2-085B-42E8-AFAA-BEF1F6E844F3}</x14:id>
        </ext>
      </extLst>
    </cfRule>
  </conditionalFormatting>
  <conditionalFormatting sqref="AA25:AA26">
    <cfRule type="dataBar" priority="12">
      <dataBar>
        <cfvo type="min"/>
        <cfvo type="max"/>
        <color rgb="FFFF6600"/>
      </dataBar>
      <extLst>
        <ext xmlns:x14="http://schemas.microsoft.com/office/spreadsheetml/2009/9/main" uri="{B025F937-C7B1-47D3-B67F-A62EFF666E3E}">
          <x14:id>{C4BBB8C3-6C2E-46F6-A8CE-2251DE97D68C}</x14:id>
        </ext>
      </extLst>
    </cfRule>
  </conditionalFormatting>
  <conditionalFormatting sqref="AH25">
    <cfRule type="dataBar" priority="11">
      <dataBar>
        <cfvo type="min"/>
        <cfvo type="max"/>
        <color rgb="FFFF6600"/>
      </dataBar>
      <extLst>
        <ext xmlns:x14="http://schemas.microsoft.com/office/spreadsheetml/2009/9/main" uri="{B025F937-C7B1-47D3-B67F-A62EFF666E3E}">
          <x14:id>{53A1959C-465E-42B6-ADCE-5AE36FBB3D07}</x14:id>
        </ext>
      </extLst>
    </cfRule>
  </conditionalFormatting>
  <conditionalFormatting sqref="E33">
    <cfRule type="dataBar" priority="22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{834E23AE-ECD5-4BEC-85CD-D5D97E6DD7FB}</x14:id>
        </ext>
      </extLst>
    </cfRule>
  </conditionalFormatting>
  <conditionalFormatting sqref="F33">
    <cfRule type="dataBar" priority="230">
      <dataBar>
        <cfvo type="min"/>
        <cfvo type="max"/>
        <color rgb="FFFF6600"/>
      </dataBar>
      <extLst>
        <ext xmlns:x14="http://schemas.microsoft.com/office/spreadsheetml/2009/9/main" uri="{B025F937-C7B1-47D3-B67F-A62EFF666E3E}">
          <x14:id>{6C2D4504-7AF3-47FE-9697-D1664CA554B9}</x14:id>
        </ext>
      </extLst>
    </cfRule>
  </conditionalFormatting>
  <conditionalFormatting sqref="L33">
    <cfRule type="dataBar" priority="232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{F649A4F0-A279-4AF7-ACBD-DD45DDD3ACA9}</x14:id>
        </ext>
      </extLst>
    </cfRule>
  </conditionalFormatting>
  <conditionalFormatting sqref="M33">
    <cfRule type="dataBar" priority="234">
      <dataBar>
        <cfvo type="min"/>
        <cfvo type="max"/>
        <color rgb="FFFF6600"/>
      </dataBar>
      <extLst>
        <ext xmlns:x14="http://schemas.microsoft.com/office/spreadsheetml/2009/9/main" uri="{B025F937-C7B1-47D3-B67F-A62EFF666E3E}">
          <x14:id>{EA67ED51-A07C-4FF6-8123-0B2FD9490512}</x14:id>
        </ext>
      </extLst>
    </cfRule>
  </conditionalFormatting>
  <conditionalFormatting sqref="S33">
    <cfRule type="dataBar" priority="23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{9EAA829A-7ECD-44C9-BB54-69796DB23967}</x14:id>
        </ext>
      </extLst>
    </cfRule>
  </conditionalFormatting>
  <conditionalFormatting sqref="T33">
    <cfRule type="dataBar" priority="238">
      <dataBar>
        <cfvo type="min"/>
        <cfvo type="max"/>
        <color rgb="FFFF6600"/>
      </dataBar>
      <extLst>
        <ext xmlns:x14="http://schemas.microsoft.com/office/spreadsheetml/2009/9/main" uri="{B025F937-C7B1-47D3-B67F-A62EFF666E3E}">
          <x14:id>{E651B365-65C0-4854-AE47-64A30ECC064C}</x14:id>
        </ext>
      </extLst>
    </cfRule>
  </conditionalFormatting>
  <conditionalFormatting sqref="Z33">
    <cfRule type="dataBar" priority="24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{3BC24FF8-D1E4-4852-BBF3-CE096B0EB024}</x14:id>
        </ext>
      </extLst>
    </cfRule>
  </conditionalFormatting>
  <conditionalFormatting sqref="AA33">
    <cfRule type="dataBar" priority="242">
      <dataBar>
        <cfvo type="min"/>
        <cfvo type="max"/>
        <color rgb="FFFF6600"/>
      </dataBar>
      <extLst>
        <ext xmlns:x14="http://schemas.microsoft.com/office/spreadsheetml/2009/9/main" uri="{B025F937-C7B1-47D3-B67F-A62EFF666E3E}">
          <x14:id>{D5307C81-C8D0-460C-B111-E9DA50B0D70B}</x14:id>
        </ext>
      </extLst>
    </cfRule>
  </conditionalFormatting>
  <conditionalFormatting sqref="AG33">
    <cfRule type="dataBar" priority="24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{32AA7C23-CA7B-4859-90FE-B32B510145AD}</x14:id>
        </ext>
      </extLst>
    </cfRule>
  </conditionalFormatting>
  <conditionalFormatting sqref="AH33">
    <cfRule type="dataBar" priority="246">
      <dataBar>
        <cfvo type="min"/>
        <cfvo type="max"/>
        <color rgb="FFFF6600"/>
      </dataBar>
      <extLst>
        <ext xmlns:x14="http://schemas.microsoft.com/office/spreadsheetml/2009/9/main" uri="{B025F937-C7B1-47D3-B67F-A62EFF666E3E}">
          <x14:id>{D463AD54-79AC-4DD6-A5E7-8E83599A47DC}</x14:id>
        </ext>
      </extLst>
    </cfRule>
  </conditionalFormatting>
  <conditionalFormatting sqref="T26">
    <cfRule type="dataBar" priority="10">
      <dataBar>
        <cfvo type="min"/>
        <cfvo type="max"/>
        <color rgb="FFFF6600"/>
      </dataBar>
      <extLst>
        <ext xmlns:x14="http://schemas.microsoft.com/office/spreadsheetml/2009/9/main" uri="{B025F937-C7B1-47D3-B67F-A62EFF666E3E}">
          <x14:id>{4A16ED6C-B605-42F8-880B-68FBC9FA33D5}</x14:id>
        </ext>
      </extLst>
    </cfRule>
  </conditionalFormatting>
  <conditionalFormatting sqref="M27">
    <cfRule type="dataBar" priority="5">
      <dataBar>
        <cfvo type="min"/>
        <cfvo type="max"/>
        <color rgb="FFFF6600"/>
      </dataBar>
      <extLst>
        <ext xmlns:x14="http://schemas.microsoft.com/office/spreadsheetml/2009/9/main" uri="{B025F937-C7B1-47D3-B67F-A62EFF666E3E}">
          <x14:id>{C6DE4D21-2199-4B6D-B778-C8D05D5AB6BB}</x14:id>
        </ext>
      </extLst>
    </cfRule>
  </conditionalFormatting>
  <conditionalFormatting sqref="T27">
    <cfRule type="dataBar" priority="4">
      <dataBar>
        <cfvo type="min"/>
        <cfvo type="max"/>
        <color rgb="FFFF6600"/>
      </dataBar>
      <extLst>
        <ext xmlns:x14="http://schemas.microsoft.com/office/spreadsheetml/2009/9/main" uri="{B025F937-C7B1-47D3-B67F-A62EFF666E3E}">
          <x14:id>{00F4088C-E033-4A6F-B34F-9F2DE0955EC6}</x14:id>
        </ext>
      </extLst>
    </cfRule>
  </conditionalFormatting>
  <conditionalFormatting sqref="AA27">
    <cfRule type="dataBar" priority="3">
      <dataBar>
        <cfvo type="min"/>
        <cfvo type="max"/>
        <color rgb="FFFF6600"/>
      </dataBar>
      <extLst>
        <ext xmlns:x14="http://schemas.microsoft.com/office/spreadsheetml/2009/9/main" uri="{B025F937-C7B1-47D3-B67F-A62EFF666E3E}">
          <x14:id>{B5B7D13C-D221-4337-97BB-148BBA02A419}</x14:id>
        </ext>
      </extLst>
    </cfRule>
  </conditionalFormatting>
  <conditionalFormatting sqref="AH27">
    <cfRule type="dataBar" priority="2">
      <dataBar>
        <cfvo type="min"/>
        <cfvo type="max"/>
        <color rgb="FFFF6600"/>
      </dataBar>
      <extLst>
        <ext xmlns:x14="http://schemas.microsoft.com/office/spreadsheetml/2009/9/main" uri="{B025F937-C7B1-47D3-B67F-A62EFF666E3E}">
          <x14:id>{A5493B6E-9926-42F2-900F-3F552138C10D}</x14:id>
        </ext>
      </extLst>
    </cfRule>
  </conditionalFormatting>
  <conditionalFormatting sqref="AH26">
    <cfRule type="dataBar" priority="1">
      <dataBar>
        <cfvo type="min"/>
        <cfvo type="max"/>
        <color rgb="FFFF6600"/>
      </dataBar>
      <extLst>
        <ext xmlns:x14="http://schemas.microsoft.com/office/spreadsheetml/2009/9/main" uri="{B025F937-C7B1-47D3-B67F-A62EFF666E3E}">
          <x14:id>{9F63CC29-1DB3-4D1A-A6C3-1C31063CDB63}</x14:id>
        </ext>
      </extLst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E9A56AF-43E9-4DC2-84FC-DBC4A3140214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F4:F6</xm:sqref>
        </x14:conditionalFormatting>
        <x14:conditionalFormatting xmlns:xm="http://schemas.microsoft.com/office/excel/2006/main">
          <x14:cfRule type="dataBar" id="{ECC51C60-3BF2-4DA1-8D35-7D9F609A55FC}">
            <x14:dataBar minLength="0" maxLength="100" gradient="0">
              <x14:cfvo type="autoMin"/>
              <x14:cfvo type="autoMax"/>
              <x14:negativeFillColor theme="5" tint="0.59999389629810485"/>
              <x14:axisColor rgb="FF000000"/>
            </x14:dataBar>
          </x14:cfRule>
          <xm:sqref>F7</xm:sqref>
        </x14:conditionalFormatting>
        <x14:conditionalFormatting xmlns:xm="http://schemas.microsoft.com/office/excel/2006/main">
          <x14:cfRule type="dataBar" id="{96B4D079-158A-431A-9876-2849C2438817}">
            <x14:dataBar minLength="0" maxLength="100" gradient="0">
              <x14:cfvo type="autoMin"/>
              <x14:cfvo type="autoMax"/>
              <x14:negativeFillColor theme="9" tint="0.39997558519241921"/>
              <x14:axisColor rgb="FF000000"/>
            </x14:dataBar>
          </x14:cfRule>
          <xm:sqref>F8</xm:sqref>
        </x14:conditionalFormatting>
        <x14:conditionalFormatting xmlns:xm="http://schemas.microsoft.com/office/excel/2006/main">
          <x14:cfRule type="dataBar" id="{4A293925-211D-4BA0-9B79-388FA338231F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M4:M6</xm:sqref>
        </x14:conditionalFormatting>
        <x14:conditionalFormatting xmlns:xm="http://schemas.microsoft.com/office/excel/2006/main">
          <x14:cfRule type="dataBar" id="{B73FD77E-8673-452E-B280-2942667FE0AE}">
            <x14:dataBar minLength="0" maxLength="100" gradient="0">
              <x14:cfvo type="autoMin"/>
              <x14:cfvo type="autoMax"/>
              <x14:negativeFillColor theme="5" tint="0.59999389629810485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AEAFDFF2-939B-4CE4-B559-7B20FE326237}">
            <x14:dataBar minLength="0" maxLength="100" gradient="0">
              <x14:cfvo type="autoMin"/>
              <x14:cfvo type="autoMax"/>
              <x14:negativeFillColor theme="9" tint="0.39997558519241921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9419AF6A-CAD9-4391-9611-914C03E3C101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T4:T6</xm:sqref>
        </x14:conditionalFormatting>
        <x14:conditionalFormatting xmlns:xm="http://schemas.microsoft.com/office/excel/2006/main">
          <x14:cfRule type="dataBar" id="{E7CB4F5B-1CBF-402A-910D-64446CDCE392}">
            <x14:dataBar minLength="0" maxLength="100" gradient="0">
              <x14:cfvo type="autoMin"/>
              <x14:cfvo type="autoMax"/>
              <x14:negativeFillColor theme="5" tint="0.59999389629810485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F8C6E2FF-EFB8-428B-9DF3-1E3BBC743875}">
            <x14:dataBar minLength="0" maxLength="100" gradient="0">
              <x14:cfvo type="autoMin"/>
              <x14:cfvo type="autoMax"/>
              <x14:negativeFillColor theme="9" tint="0.39997558519241921"/>
              <x14:axisColor rgb="FF000000"/>
            </x14:dataBar>
          </x14:cfRule>
          <xm:sqref>T8</xm:sqref>
        </x14:conditionalFormatting>
        <x14:conditionalFormatting xmlns:xm="http://schemas.microsoft.com/office/excel/2006/main">
          <x14:cfRule type="dataBar" id="{4BFED6E3-2AD4-4C64-8660-A5DA0C1DFCD3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AA4:AA6</xm:sqref>
        </x14:conditionalFormatting>
        <x14:conditionalFormatting xmlns:xm="http://schemas.microsoft.com/office/excel/2006/main">
          <x14:cfRule type="dataBar" id="{DCBB8E0E-3BA9-4A13-9F44-88C01A84F777}">
            <x14:dataBar minLength="0" maxLength="100" gradient="0">
              <x14:cfvo type="autoMin"/>
              <x14:cfvo type="autoMax"/>
              <x14:negativeFillColor theme="5" tint="0.59999389629810485"/>
              <x14:axisColor rgb="FF000000"/>
            </x14:dataBar>
          </x14:cfRule>
          <xm:sqref>AA7</xm:sqref>
        </x14:conditionalFormatting>
        <x14:conditionalFormatting xmlns:xm="http://schemas.microsoft.com/office/excel/2006/main">
          <x14:cfRule type="dataBar" id="{230149A1-DBEA-4A9D-AC2F-2DA71ED44A6B}">
            <x14:dataBar minLength="0" maxLength="100" gradient="0">
              <x14:cfvo type="autoMin"/>
              <x14:cfvo type="autoMax"/>
              <x14:negativeFillColor theme="9" tint="0.39997558519241921"/>
              <x14:axisColor rgb="FF000000"/>
            </x14:dataBar>
          </x14:cfRule>
          <xm:sqref>AA8</xm:sqref>
        </x14:conditionalFormatting>
        <x14:conditionalFormatting xmlns:xm="http://schemas.microsoft.com/office/excel/2006/main">
          <x14:cfRule type="dataBar" id="{DFE2B1A8-B9D5-4D70-B623-19966CAD5078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AH4:AH6</xm:sqref>
        </x14:conditionalFormatting>
        <x14:conditionalFormatting xmlns:xm="http://schemas.microsoft.com/office/excel/2006/main">
          <x14:cfRule type="dataBar" id="{7BDC2557-B4D2-4DFC-AC25-D406893926F7}">
            <x14:dataBar minLength="0" maxLength="100" gradient="0">
              <x14:cfvo type="autoMin"/>
              <x14:cfvo type="autoMax"/>
              <x14:negativeFillColor theme="5" tint="0.59999389629810485"/>
              <x14:axisColor rgb="FF000000"/>
            </x14:dataBar>
          </x14:cfRule>
          <xm:sqref>AH7</xm:sqref>
        </x14:conditionalFormatting>
        <x14:conditionalFormatting xmlns:xm="http://schemas.microsoft.com/office/excel/2006/main">
          <x14:cfRule type="dataBar" id="{C6ACDDC1-09C0-4969-BF55-5EEF17E2A190}">
            <x14:dataBar minLength="0" maxLength="100" gradient="0">
              <x14:cfvo type="autoMin"/>
              <x14:cfvo type="autoMax"/>
              <x14:negativeFillColor theme="9" tint="0.39997558519241921"/>
              <x14:axisColor rgb="FF000000"/>
            </x14:dataBar>
          </x14:cfRule>
          <xm:sqref>AH8</xm:sqref>
        </x14:conditionalFormatting>
        <x14:conditionalFormatting xmlns:xm="http://schemas.microsoft.com/office/excel/2006/main">
          <x14:cfRule type="dataBar" id="{83C9D979-6189-49DF-8B56-DE8909281E05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F20:F22</xm:sqref>
        </x14:conditionalFormatting>
        <x14:conditionalFormatting xmlns:xm="http://schemas.microsoft.com/office/excel/2006/main">
          <x14:cfRule type="dataBar" id="{1A2CCD73-0E65-4F04-A704-2730583E4737}">
            <x14:dataBar minLength="0" maxLength="100" gradient="0">
              <x14:cfvo type="autoMin"/>
              <x14:cfvo type="autoMax"/>
              <x14:negativeFillColor theme="9" tint="0.39997558519241921"/>
              <x14:axisColor rgb="FF000000"/>
            </x14:dataBar>
          </x14:cfRule>
          <xm:sqref>F25:F27</xm:sqref>
        </x14:conditionalFormatting>
        <x14:conditionalFormatting xmlns:xm="http://schemas.microsoft.com/office/excel/2006/main">
          <x14:cfRule type="dataBar" id="{D0039856-F594-41EB-B456-C37068205552}">
            <x14:dataBar minLength="0" maxLength="100" gradient="0">
              <x14:cfvo type="autoMin"/>
              <x14:cfvo type="autoMax"/>
              <x14:negativeFillColor theme="5" tint="0.59999389629810485"/>
              <x14:axisColor rgb="FF000000"/>
            </x14:dataBar>
          </x14:cfRule>
          <xm:sqref>F32</xm:sqref>
        </x14:conditionalFormatting>
        <x14:conditionalFormatting xmlns:xm="http://schemas.microsoft.com/office/excel/2006/main">
          <x14:cfRule type="dataBar" id="{09E91862-EFA8-40D8-A132-809E5C4306E9}">
            <x14:dataBar minLength="0" maxLength="100" gradient="0">
              <x14:cfvo type="autoMin"/>
              <x14:cfvo type="autoMax"/>
              <x14:negativeFillColor theme="5" tint="0.59999389629810485"/>
              <x14:axisColor rgb="FF000000"/>
            </x14:dataBar>
          </x14:cfRule>
          <xm:sqref>AA32</xm:sqref>
        </x14:conditionalFormatting>
        <x14:conditionalFormatting xmlns:xm="http://schemas.microsoft.com/office/excel/2006/main">
          <x14:cfRule type="dataBar" id="{6E2DA182-D7EC-4C1F-A5FD-753216956DEB}">
            <x14:dataBar minLength="0" maxLength="100" gradient="0">
              <x14:cfvo type="autoMin"/>
              <x14:cfvo type="autoMax"/>
              <x14:negativeFillColor theme="5" tint="0.59999389629810485"/>
              <x14:axisColor rgb="FF000000"/>
            </x14:dataBar>
          </x14:cfRule>
          <xm:sqref>M32</xm:sqref>
        </x14:conditionalFormatting>
        <x14:conditionalFormatting xmlns:xm="http://schemas.microsoft.com/office/excel/2006/main">
          <x14:cfRule type="dataBar" id="{A014B450-0E21-4DB6-AE4E-D1879BF4C4D7}">
            <x14:dataBar minLength="0" maxLength="100" gradient="0">
              <x14:cfvo type="autoMin"/>
              <x14:cfvo type="autoMax"/>
              <x14:negativeFillColor theme="5" tint="0.59999389629810485"/>
              <x14:axisColor rgb="FF000000"/>
            </x14:dataBar>
          </x14:cfRule>
          <xm:sqref>T32</xm:sqref>
        </x14:conditionalFormatting>
        <x14:conditionalFormatting xmlns:xm="http://schemas.microsoft.com/office/excel/2006/main">
          <x14:cfRule type="dataBar" id="{7535B391-2D0A-4ACF-BE76-7DAF095FBB20}">
            <x14:dataBar minLength="0" maxLength="100" gradient="0">
              <x14:cfvo type="autoMin"/>
              <x14:cfvo type="autoMax"/>
              <x14:negativeFillColor theme="5" tint="0.59999389629810485"/>
              <x14:axisColor rgb="FF000000"/>
            </x14:dataBar>
          </x14:cfRule>
          <xm:sqref>AH32</xm:sqref>
        </x14:conditionalFormatting>
        <x14:conditionalFormatting xmlns:xm="http://schemas.microsoft.com/office/excel/2006/main">
          <x14:cfRule type="dataBar" id="{0EFA42FD-1ABF-4029-9D4B-46F6685DDC67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F23</xm:sqref>
        </x14:conditionalFormatting>
        <x14:conditionalFormatting xmlns:xm="http://schemas.microsoft.com/office/excel/2006/main">
          <x14:cfRule type="dataBar" id="{74295EEE-2317-4EE0-8B68-6320790386E3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F24</xm:sqref>
        </x14:conditionalFormatting>
        <x14:conditionalFormatting xmlns:xm="http://schemas.microsoft.com/office/excel/2006/main">
          <x14:cfRule type="dataBar" id="{BC868A88-D161-4788-B94C-406DDC37F57E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F30</xm:sqref>
        </x14:conditionalFormatting>
        <x14:conditionalFormatting xmlns:xm="http://schemas.microsoft.com/office/excel/2006/main">
          <x14:cfRule type="dataBar" id="{2A741ADF-BADB-4308-B9BC-72E80D6F7339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F29</xm:sqref>
        </x14:conditionalFormatting>
        <x14:conditionalFormatting xmlns:xm="http://schemas.microsoft.com/office/excel/2006/main">
          <x14:cfRule type="dataBar" id="{C9F9DF59-85E0-45D9-BE72-69E27B9E27C3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M20:M22</xm:sqref>
        </x14:conditionalFormatting>
        <x14:conditionalFormatting xmlns:xm="http://schemas.microsoft.com/office/excel/2006/main">
          <x14:cfRule type="dataBar" id="{C4963552-9AB4-46E6-AEF3-D7707BD6CC39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M23</xm:sqref>
        </x14:conditionalFormatting>
        <x14:conditionalFormatting xmlns:xm="http://schemas.microsoft.com/office/excel/2006/main">
          <x14:cfRule type="dataBar" id="{9EB974BD-C172-4CB5-9425-792B607F7BDE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M24</xm:sqref>
        </x14:conditionalFormatting>
        <x14:conditionalFormatting xmlns:xm="http://schemas.microsoft.com/office/excel/2006/main">
          <x14:cfRule type="dataBar" id="{2074A2C7-594F-4D3F-A8BE-285736920B02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M30</xm:sqref>
        </x14:conditionalFormatting>
        <x14:conditionalFormatting xmlns:xm="http://schemas.microsoft.com/office/excel/2006/main">
          <x14:cfRule type="dataBar" id="{9E1398A0-35BC-41D0-92DD-BAEEFCEC9277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M29</xm:sqref>
        </x14:conditionalFormatting>
        <x14:conditionalFormatting xmlns:xm="http://schemas.microsoft.com/office/excel/2006/main">
          <x14:cfRule type="dataBar" id="{D17CD822-6BBC-4800-A6BC-DFB2E4DFC3BB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T20:T22</xm:sqref>
        </x14:conditionalFormatting>
        <x14:conditionalFormatting xmlns:xm="http://schemas.microsoft.com/office/excel/2006/main">
          <x14:cfRule type="dataBar" id="{2D7B6077-F2E3-4C91-AE22-40D6D25277DF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T23</xm:sqref>
        </x14:conditionalFormatting>
        <x14:conditionalFormatting xmlns:xm="http://schemas.microsoft.com/office/excel/2006/main">
          <x14:cfRule type="dataBar" id="{B87181D3-B734-4209-A7B9-2F865942073D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T24</xm:sqref>
        </x14:conditionalFormatting>
        <x14:conditionalFormatting xmlns:xm="http://schemas.microsoft.com/office/excel/2006/main">
          <x14:cfRule type="dataBar" id="{96EDDDDB-7BE9-43E9-BCD5-A4E72800BAC8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T30</xm:sqref>
        </x14:conditionalFormatting>
        <x14:conditionalFormatting xmlns:xm="http://schemas.microsoft.com/office/excel/2006/main">
          <x14:cfRule type="dataBar" id="{4533FE1E-23BC-4185-84AE-4A11A8D04435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T29</xm:sqref>
        </x14:conditionalFormatting>
        <x14:conditionalFormatting xmlns:xm="http://schemas.microsoft.com/office/excel/2006/main">
          <x14:cfRule type="dataBar" id="{915A4F61-E31B-40CA-B419-3384639AADD7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AA20:AA22</xm:sqref>
        </x14:conditionalFormatting>
        <x14:conditionalFormatting xmlns:xm="http://schemas.microsoft.com/office/excel/2006/main">
          <x14:cfRule type="dataBar" id="{BA4E627D-358E-4856-9945-63D2FB50B9EE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AA23</xm:sqref>
        </x14:conditionalFormatting>
        <x14:conditionalFormatting xmlns:xm="http://schemas.microsoft.com/office/excel/2006/main">
          <x14:cfRule type="dataBar" id="{B6ED8CEB-28F8-49FF-A1E9-D51C2DF57D05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AA24</xm:sqref>
        </x14:conditionalFormatting>
        <x14:conditionalFormatting xmlns:xm="http://schemas.microsoft.com/office/excel/2006/main">
          <x14:cfRule type="dataBar" id="{ABF80581-B5AF-42A0-A8BD-2902F85CB7D4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AA30</xm:sqref>
        </x14:conditionalFormatting>
        <x14:conditionalFormatting xmlns:xm="http://schemas.microsoft.com/office/excel/2006/main">
          <x14:cfRule type="dataBar" id="{EDD07896-EA79-453F-AC53-3BA768C58551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AA29</xm:sqref>
        </x14:conditionalFormatting>
        <x14:conditionalFormatting xmlns:xm="http://schemas.microsoft.com/office/excel/2006/main">
          <x14:cfRule type="dataBar" id="{D1E24024-784F-4D70-A3B1-A66D01B2588C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AH20:AH22</xm:sqref>
        </x14:conditionalFormatting>
        <x14:conditionalFormatting xmlns:xm="http://schemas.microsoft.com/office/excel/2006/main">
          <x14:cfRule type="dataBar" id="{A171C32D-1EE6-4FC6-B02E-8CEBDD358535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AH23</xm:sqref>
        </x14:conditionalFormatting>
        <x14:conditionalFormatting xmlns:xm="http://schemas.microsoft.com/office/excel/2006/main">
          <x14:cfRule type="dataBar" id="{18AD48E0-459F-4120-99F5-9B972DF39983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AH24</xm:sqref>
        </x14:conditionalFormatting>
        <x14:conditionalFormatting xmlns:xm="http://schemas.microsoft.com/office/excel/2006/main">
          <x14:cfRule type="dataBar" id="{F8201312-5395-4E38-A3DF-8CA06D97FC35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AH30</xm:sqref>
        </x14:conditionalFormatting>
        <x14:conditionalFormatting xmlns:xm="http://schemas.microsoft.com/office/excel/2006/main">
          <x14:cfRule type="dataBar" id="{AC0508F2-CA27-4D76-BAF1-A201F4BDC58D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AH29</xm:sqref>
        </x14:conditionalFormatting>
        <x14:conditionalFormatting xmlns:xm="http://schemas.microsoft.com/office/excel/2006/main">
          <x14:cfRule type="dataBar" id="{67C4478C-BFCD-4CC1-B691-EB99102547B4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AM34</xm:sqref>
        </x14:conditionalFormatting>
        <x14:conditionalFormatting xmlns:xm="http://schemas.microsoft.com/office/excel/2006/main">
          <x14:cfRule type="dataBar" id="{7A7BEB3B-5A81-46C9-8749-813689625356}">
            <x14:dataBar minLength="0" maxLength="100" gradient="0">
              <x14:cfvo type="autoMin"/>
              <x14:cfvo type="autoMax"/>
              <x14:negativeFillColor theme="9" tint="0.39997558519241921"/>
              <x14:axisColor rgb="FF000000"/>
            </x14:dataBar>
          </x14:cfRule>
          <xm:sqref>M25:M26</xm:sqref>
        </x14:conditionalFormatting>
        <x14:conditionalFormatting xmlns:xm="http://schemas.microsoft.com/office/excel/2006/main">
          <x14:cfRule type="dataBar" id="{CBEE5FF2-085B-42E8-AFAA-BEF1F6E844F3}">
            <x14:dataBar minLength="0" maxLength="100" gradient="0">
              <x14:cfvo type="autoMin"/>
              <x14:cfvo type="autoMax"/>
              <x14:negativeFillColor theme="9" tint="0.39997558519241921"/>
              <x14:axisColor rgb="FF000000"/>
            </x14:dataBar>
          </x14:cfRule>
          <xm:sqref>T25</xm:sqref>
        </x14:conditionalFormatting>
        <x14:conditionalFormatting xmlns:xm="http://schemas.microsoft.com/office/excel/2006/main">
          <x14:cfRule type="dataBar" id="{C4BBB8C3-6C2E-46F6-A8CE-2251DE97D68C}">
            <x14:dataBar minLength="0" maxLength="100" gradient="0">
              <x14:cfvo type="autoMin"/>
              <x14:cfvo type="autoMax"/>
              <x14:negativeFillColor theme="9" tint="0.39997558519241921"/>
              <x14:axisColor rgb="FF000000"/>
            </x14:dataBar>
          </x14:cfRule>
          <xm:sqref>AA25:AA26</xm:sqref>
        </x14:conditionalFormatting>
        <x14:conditionalFormatting xmlns:xm="http://schemas.microsoft.com/office/excel/2006/main">
          <x14:cfRule type="dataBar" id="{53A1959C-465E-42B6-ADCE-5AE36FBB3D07}">
            <x14:dataBar minLength="0" maxLength="100" gradient="0">
              <x14:cfvo type="autoMin"/>
              <x14:cfvo type="autoMax"/>
              <x14:negativeFillColor theme="9" tint="0.39997558519241921"/>
              <x14:axisColor rgb="FF000000"/>
            </x14:dataBar>
          </x14:cfRule>
          <xm:sqref>AH25</xm:sqref>
        </x14:conditionalFormatting>
        <x14:conditionalFormatting xmlns:xm="http://schemas.microsoft.com/office/excel/2006/main">
          <x14:cfRule type="dataBar" id="{834E23AE-ECD5-4BEC-85CD-D5D97E6DD7FB}">
            <x14:dataBar minLength="0" maxLength="100" gradient="0">
              <x14:cfvo type="autoMin"/>
              <x14:cfvo type="autoMax"/>
              <x14:negativeFillColor theme="5" tint="0.59999389629810485"/>
              <x14:axisColor rgb="FF000000"/>
            </x14:dataBar>
          </x14:cfRule>
          <xm:sqref>E33</xm:sqref>
        </x14:conditionalFormatting>
        <x14:conditionalFormatting xmlns:xm="http://schemas.microsoft.com/office/excel/2006/main">
          <x14:cfRule type="dataBar" id="{6C2D4504-7AF3-47FE-9697-D1664CA554B9}">
            <x14:dataBar minLength="0" maxLength="100" gradient="0">
              <x14:cfvo type="autoMin"/>
              <x14:cfvo type="autoMax"/>
              <x14:negativeFillColor theme="9" tint="0.39997558519241921"/>
              <x14:axisColor rgb="FF000000"/>
            </x14:dataBar>
          </x14:cfRule>
          <xm:sqref>F33</xm:sqref>
        </x14:conditionalFormatting>
        <x14:conditionalFormatting xmlns:xm="http://schemas.microsoft.com/office/excel/2006/main">
          <x14:cfRule type="dataBar" id="{F649A4F0-A279-4AF7-ACBD-DD45DDD3ACA9}">
            <x14:dataBar minLength="0" maxLength="100" gradient="0">
              <x14:cfvo type="autoMin"/>
              <x14:cfvo type="autoMax"/>
              <x14:negativeFillColor theme="5" tint="0.59999389629810485"/>
              <x14:axisColor rgb="FF000000"/>
            </x14:dataBar>
          </x14:cfRule>
          <xm:sqref>L33</xm:sqref>
        </x14:conditionalFormatting>
        <x14:conditionalFormatting xmlns:xm="http://schemas.microsoft.com/office/excel/2006/main">
          <x14:cfRule type="dataBar" id="{EA67ED51-A07C-4FF6-8123-0B2FD9490512}">
            <x14:dataBar minLength="0" maxLength="100" gradient="0">
              <x14:cfvo type="autoMin"/>
              <x14:cfvo type="autoMax"/>
              <x14:negativeFillColor theme="9" tint="0.39997558519241921"/>
              <x14:axisColor rgb="FF000000"/>
            </x14:dataBar>
          </x14:cfRule>
          <xm:sqref>M33</xm:sqref>
        </x14:conditionalFormatting>
        <x14:conditionalFormatting xmlns:xm="http://schemas.microsoft.com/office/excel/2006/main">
          <x14:cfRule type="dataBar" id="{9EAA829A-7ECD-44C9-BB54-69796DB23967}">
            <x14:dataBar minLength="0" maxLength="100" gradient="0">
              <x14:cfvo type="autoMin"/>
              <x14:cfvo type="autoMax"/>
              <x14:negativeFillColor theme="5" tint="0.59999389629810485"/>
              <x14:axisColor rgb="FF000000"/>
            </x14:dataBar>
          </x14:cfRule>
          <xm:sqref>S33</xm:sqref>
        </x14:conditionalFormatting>
        <x14:conditionalFormatting xmlns:xm="http://schemas.microsoft.com/office/excel/2006/main">
          <x14:cfRule type="dataBar" id="{E651B365-65C0-4854-AE47-64A30ECC064C}">
            <x14:dataBar minLength="0" maxLength="100" gradient="0">
              <x14:cfvo type="autoMin"/>
              <x14:cfvo type="autoMax"/>
              <x14:negativeFillColor theme="9" tint="0.39997558519241921"/>
              <x14:axisColor rgb="FF000000"/>
            </x14:dataBar>
          </x14:cfRule>
          <xm:sqref>T33</xm:sqref>
        </x14:conditionalFormatting>
        <x14:conditionalFormatting xmlns:xm="http://schemas.microsoft.com/office/excel/2006/main">
          <x14:cfRule type="dataBar" id="{3BC24FF8-D1E4-4852-BBF3-CE096B0EB024}">
            <x14:dataBar minLength="0" maxLength="100" gradient="0">
              <x14:cfvo type="autoMin"/>
              <x14:cfvo type="autoMax"/>
              <x14:negativeFillColor theme="5" tint="0.59999389629810485"/>
              <x14:axisColor rgb="FF000000"/>
            </x14:dataBar>
          </x14:cfRule>
          <xm:sqref>Z33</xm:sqref>
        </x14:conditionalFormatting>
        <x14:conditionalFormatting xmlns:xm="http://schemas.microsoft.com/office/excel/2006/main">
          <x14:cfRule type="dataBar" id="{D5307C81-C8D0-460C-B111-E9DA50B0D70B}">
            <x14:dataBar minLength="0" maxLength="100" gradient="0">
              <x14:cfvo type="autoMin"/>
              <x14:cfvo type="autoMax"/>
              <x14:negativeFillColor theme="9" tint="0.39997558519241921"/>
              <x14:axisColor rgb="FF000000"/>
            </x14:dataBar>
          </x14:cfRule>
          <xm:sqref>AA33</xm:sqref>
        </x14:conditionalFormatting>
        <x14:conditionalFormatting xmlns:xm="http://schemas.microsoft.com/office/excel/2006/main">
          <x14:cfRule type="dataBar" id="{32AA7C23-CA7B-4859-90FE-B32B510145AD}">
            <x14:dataBar minLength="0" maxLength="100" gradient="0">
              <x14:cfvo type="autoMin"/>
              <x14:cfvo type="autoMax"/>
              <x14:negativeFillColor theme="5" tint="0.59999389629810485"/>
              <x14:axisColor rgb="FF000000"/>
            </x14:dataBar>
          </x14:cfRule>
          <xm:sqref>AG33</xm:sqref>
        </x14:conditionalFormatting>
        <x14:conditionalFormatting xmlns:xm="http://schemas.microsoft.com/office/excel/2006/main">
          <x14:cfRule type="dataBar" id="{D463AD54-79AC-4DD6-A5E7-8E83599A47DC}">
            <x14:dataBar minLength="0" maxLength="100" gradient="0">
              <x14:cfvo type="autoMin"/>
              <x14:cfvo type="autoMax"/>
              <x14:negativeFillColor theme="9" tint="0.39997558519241921"/>
              <x14:axisColor rgb="FF000000"/>
            </x14:dataBar>
          </x14:cfRule>
          <xm:sqref>AH33</xm:sqref>
        </x14:conditionalFormatting>
        <x14:conditionalFormatting xmlns:xm="http://schemas.microsoft.com/office/excel/2006/main">
          <x14:cfRule type="dataBar" id="{4A16ED6C-B605-42F8-880B-68FBC9FA33D5}">
            <x14:dataBar minLength="0" maxLength="100" gradient="0">
              <x14:cfvo type="autoMin"/>
              <x14:cfvo type="autoMax"/>
              <x14:negativeFillColor theme="9" tint="0.39997558519241921"/>
              <x14:axisColor rgb="FF000000"/>
            </x14:dataBar>
          </x14:cfRule>
          <xm:sqref>T26</xm:sqref>
        </x14:conditionalFormatting>
        <x14:conditionalFormatting xmlns:xm="http://schemas.microsoft.com/office/excel/2006/main">
          <x14:cfRule type="dataBar" id="{C6DE4D21-2199-4B6D-B778-C8D05D5AB6BB}">
            <x14:dataBar minLength="0" maxLength="100" gradient="0">
              <x14:cfvo type="autoMin"/>
              <x14:cfvo type="autoMax"/>
              <x14:negativeFillColor theme="9" tint="0.39997558519241921"/>
              <x14:axisColor rgb="FF000000"/>
            </x14:dataBar>
          </x14:cfRule>
          <xm:sqref>M27</xm:sqref>
        </x14:conditionalFormatting>
        <x14:conditionalFormatting xmlns:xm="http://schemas.microsoft.com/office/excel/2006/main">
          <x14:cfRule type="dataBar" id="{00F4088C-E033-4A6F-B34F-9F2DE0955EC6}">
            <x14:dataBar minLength="0" maxLength="100" gradient="0">
              <x14:cfvo type="autoMin"/>
              <x14:cfvo type="autoMax"/>
              <x14:negativeFillColor theme="9" tint="0.39997558519241921"/>
              <x14:axisColor rgb="FF000000"/>
            </x14:dataBar>
          </x14:cfRule>
          <xm:sqref>T27</xm:sqref>
        </x14:conditionalFormatting>
        <x14:conditionalFormatting xmlns:xm="http://schemas.microsoft.com/office/excel/2006/main">
          <x14:cfRule type="dataBar" id="{B5B7D13C-D221-4337-97BB-148BBA02A419}">
            <x14:dataBar minLength="0" maxLength="100" gradient="0">
              <x14:cfvo type="autoMin"/>
              <x14:cfvo type="autoMax"/>
              <x14:negativeFillColor theme="9" tint="0.39997558519241921"/>
              <x14:axisColor rgb="FF000000"/>
            </x14:dataBar>
          </x14:cfRule>
          <xm:sqref>AA27</xm:sqref>
        </x14:conditionalFormatting>
        <x14:conditionalFormatting xmlns:xm="http://schemas.microsoft.com/office/excel/2006/main">
          <x14:cfRule type="dataBar" id="{A5493B6E-9926-42F2-900F-3F552138C10D}">
            <x14:dataBar minLength="0" maxLength="100" gradient="0">
              <x14:cfvo type="autoMin"/>
              <x14:cfvo type="autoMax"/>
              <x14:negativeFillColor theme="9" tint="0.39997558519241921"/>
              <x14:axisColor rgb="FF000000"/>
            </x14:dataBar>
          </x14:cfRule>
          <xm:sqref>AH27</xm:sqref>
        </x14:conditionalFormatting>
        <x14:conditionalFormatting xmlns:xm="http://schemas.microsoft.com/office/excel/2006/main">
          <x14:cfRule type="dataBar" id="{9F63CC29-1DB3-4D1A-A6C3-1C31063CDB63}">
            <x14:dataBar minLength="0" maxLength="100" gradient="0">
              <x14:cfvo type="autoMin"/>
              <x14:cfvo type="autoMax"/>
              <x14:negativeFillColor theme="9" tint="0.39997558519241921"/>
              <x14:axisColor rgb="FF000000"/>
            </x14:dataBar>
          </x14:cfRule>
          <xm:sqref>AH26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8AD48-7BC7-4F61-9CD9-D8CAFB4A2BD3}">
  <sheetPr codeName="Sheet6"/>
  <dimension ref="A1:AM52"/>
  <sheetViews>
    <sheetView showGridLines="0" topLeftCell="A43" zoomScale="111" zoomScaleNormal="130" workbookViewId="0">
      <selection activeCell="Z36" sqref="Z36"/>
    </sheetView>
  </sheetViews>
  <sheetFormatPr defaultColWidth="8.77734375" defaultRowHeight="13.8" x14ac:dyDescent="0.25"/>
  <cols>
    <col min="1" max="1" width="7.44140625" style="15" bestFit="1" customWidth="1"/>
    <col min="2" max="2" width="8.109375" style="15" hidden="1" customWidth="1"/>
    <col min="3" max="3" width="8.21875" style="15" bestFit="1" customWidth="1"/>
    <col min="4" max="4" width="8.109375" style="15" bestFit="1" customWidth="1"/>
    <col min="5" max="5" width="8.21875" style="15" bestFit="1" customWidth="1"/>
    <col min="6" max="6" width="7.6640625" style="15" bestFit="1" customWidth="1"/>
    <col min="7" max="7" width="0.5546875" style="15" customWidth="1"/>
    <col min="8" max="8" width="7.44140625" style="15" bestFit="1" customWidth="1"/>
    <col min="9" max="9" width="8.109375" style="15" hidden="1" customWidth="1"/>
    <col min="10" max="10" width="8.21875" style="15" bestFit="1" customWidth="1"/>
    <col min="11" max="11" width="8.109375" style="15" bestFit="1" customWidth="1"/>
    <col min="12" max="12" width="8.21875" style="15" bestFit="1" customWidth="1"/>
    <col min="13" max="13" width="6.6640625" style="15" bestFit="1" customWidth="1"/>
    <col min="14" max="14" width="0.5546875" style="15" customWidth="1"/>
    <col min="15" max="15" width="7.44140625" style="15" bestFit="1" customWidth="1"/>
    <col min="16" max="16" width="8.109375" style="15" hidden="1" customWidth="1"/>
    <col min="17" max="17" width="8.21875" style="15" bestFit="1" customWidth="1"/>
    <col min="18" max="18" width="8.109375" style="15" bestFit="1" customWidth="1"/>
    <col min="19" max="19" width="8.21875" style="15" bestFit="1" customWidth="1"/>
    <col min="20" max="20" width="6.6640625" style="15" bestFit="1" customWidth="1"/>
    <col min="21" max="21" width="0.5546875" style="15" customWidth="1"/>
    <col min="22" max="22" width="7.44140625" style="15" bestFit="1" customWidth="1"/>
    <col min="23" max="23" width="8.109375" style="15" hidden="1" customWidth="1"/>
    <col min="24" max="24" width="8.21875" style="15" bestFit="1" customWidth="1"/>
    <col min="25" max="25" width="8.109375" style="15" bestFit="1" customWidth="1"/>
    <col min="26" max="26" width="8.21875" style="15" bestFit="1" customWidth="1"/>
    <col min="27" max="27" width="6.6640625" style="15" bestFit="1" customWidth="1"/>
    <col min="28" max="28" width="0.5546875" style="15" customWidth="1"/>
    <col min="29" max="29" width="7.44140625" style="15" bestFit="1" customWidth="1"/>
    <col min="30" max="30" width="2.109375" style="15" hidden="1" customWidth="1"/>
    <col min="31" max="31" width="8.21875" style="15" bestFit="1" customWidth="1"/>
    <col min="32" max="32" width="8.109375" style="15" bestFit="1" customWidth="1"/>
    <col min="33" max="33" width="8.21875" style="15" bestFit="1" customWidth="1"/>
    <col min="34" max="34" width="7.21875" style="15" bestFit="1" customWidth="1"/>
    <col min="35" max="35" width="1.77734375" style="15" customWidth="1"/>
    <col min="36" max="36" width="5.6640625" style="15" bestFit="1" customWidth="1"/>
    <col min="37" max="38" width="9.5546875" style="15" bestFit="1" customWidth="1"/>
    <col min="39" max="39" width="13.21875" style="15" customWidth="1"/>
    <col min="40" max="16384" width="8.77734375" style="15"/>
  </cols>
  <sheetData>
    <row r="1" spans="1:34" x14ac:dyDescent="0.25">
      <c r="A1" s="134" t="s">
        <v>39</v>
      </c>
      <c r="B1" s="134"/>
      <c r="C1" s="134"/>
      <c r="D1" s="134"/>
      <c r="E1" s="134"/>
      <c r="F1" s="134"/>
      <c r="H1" s="134" t="s">
        <v>40</v>
      </c>
      <c r="I1" s="134"/>
      <c r="J1" s="134"/>
      <c r="K1" s="134"/>
      <c r="L1" s="134"/>
      <c r="M1" s="134"/>
      <c r="O1" s="134" t="s">
        <v>41</v>
      </c>
      <c r="P1" s="134"/>
      <c r="Q1" s="134"/>
      <c r="R1" s="134"/>
      <c r="S1" s="134"/>
      <c r="T1" s="134"/>
      <c r="V1" s="134" t="s">
        <v>42</v>
      </c>
      <c r="W1" s="134"/>
      <c r="X1" s="134"/>
      <c r="Y1" s="134"/>
      <c r="Z1" s="134"/>
      <c r="AA1" s="134"/>
      <c r="AC1" s="134" t="s">
        <v>43</v>
      </c>
      <c r="AD1" s="134"/>
      <c r="AE1" s="134"/>
      <c r="AF1" s="134"/>
      <c r="AG1" s="134"/>
      <c r="AH1" s="134"/>
    </row>
    <row r="2" spans="1:34" x14ac:dyDescent="0.25">
      <c r="A2" s="135"/>
      <c r="B2" s="61"/>
      <c r="C2" s="138" t="s">
        <v>1</v>
      </c>
      <c r="D2" s="139"/>
      <c r="E2" s="140"/>
      <c r="F2" s="137" t="s">
        <v>3</v>
      </c>
      <c r="H2" s="135"/>
      <c r="I2" s="46"/>
      <c r="J2" s="137" t="s">
        <v>1</v>
      </c>
      <c r="K2" s="137"/>
      <c r="L2" s="137"/>
      <c r="M2" s="137" t="s">
        <v>3</v>
      </c>
      <c r="O2" s="135"/>
      <c r="P2" s="46"/>
      <c r="Q2" s="137" t="s">
        <v>1</v>
      </c>
      <c r="R2" s="137"/>
      <c r="S2" s="137"/>
      <c r="T2" s="137" t="s">
        <v>3</v>
      </c>
      <c r="V2" s="135"/>
      <c r="W2" s="46"/>
      <c r="X2" s="137" t="s">
        <v>1</v>
      </c>
      <c r="Y2" s="137"/>
      <c r="Z2" s="137"/>
      <c r="AA2" s="137" t="s">
        <v>3</v>
      </c>
      <c r="AC2" s="135"/>
      <c r="AD2" s="46"/>
      <c r="AE2" s="137" t="s">
        <v>1</v>
      </c>
      <c r="AF2" s="137"/>
      <c r="AG2" s="137"/>
      <c r="AH2" s="137" t="s">
        <v>3</v>
      </c>
    </row>
    <row r="3" spans="1:34" x14ac:dyDescent="0.25">
      <c r="A3" s="136"/>
      <c r="B3" s="47"/>
      <c r="C3" s="9">
        <v>45536</v>
      </c>
      <c r="D3" s="9"/>
      <c r="E3" s="9">
        <v>45901</v>
      </c>
      <c r="F3" s="137"/>
      <c r="H3" s="136"/>
      <c r="I3" s="47"/>
      <c r="J3" s="9">
        <f>C3</f>
        <v>45536</v>
      </c>
      <c r="K3" s="9"/>
      <c r="L3" s="9">
        <f>E3</f>
        <v>45901</v>
      </c>
      <c r="M3" s="137"/>
      <c r="O3" s="136"/>
      <c r="P3" s="47"/>
      <c r="Q3" s="9">
        <f>J3</f>
        <v>45536</v>
      </c>
      <c r="R3" s="9"/>
      <c r="S3" s="9">
        <f>L3</f>
        <v>45901</v>
      </c>
      <c r="T3" s="137"/>
      <c r="V3" s="136"/>
      <c r="W3" s="47"/>
      <c r="X3" s="9">
        <f>Q3</f>
        <v>45536</v>
      </c>
      <c r="Y3" s="9"/>
      <c r="Z3" s="9">
        <f>S3</f>
        <v>45901</v>
      </c>
      <c r="AA3" s="137"/>
      <c r="AC3" s="136"/>
      <c r="AD3" s="47"/>
      <c r="AE3" s="9">
        <f>X3</f>
        <v>45536</v>
      </c>
      <c r="AF3" s="9"/>
      <c r="AG3" s="9">
        <f>Z3</f>
        <v>45901</v>
      </c>
      <c r="AH3" s="137"/>
    </row>
    <row r="4" spans="1:34" x14ac:dyDescent="0.25">
      <c r="A4" s="1" t="s">
        <v>6</v>
      </c>
      <c r="B4" s="1"/>
      <c r="C4" s="3">
        <f>[21]Page1_1!$C$18/1000000000</f>
        <v>2848.257725595</v>
      </c>
      <c r="D4" s="3"/>
      <c r="E4" s="3">
        <f>[21]Page1_1!$E$18/1000000000</f>
        <v>3069.7475724179999</v>
      </c>
      <c r="F4" s="25">
        <f>E4/C4-1</f>
        <v>7.7763274310694852E-2</v>
      </c>
      <c r="H4" s="1" t="s">
        <v>6</v>
      </c>
      <c r="I4" s="1"/>
      <c r="J4" s="3">
        <f>[21]Page1_1!$C$19/1000000000</f>
        <v>965.63837802299997</v>
      </c>
      <c r="K4" s="3"/>
      <c r="L4" s="3">
        <f>[21]Page1_1!$E$19/1000000000</f>
        <v>917.21906429499995</v>
      </c>
      <c r="M4" s="25">
        <f>L4/J4-1</f>
        <v>-5.0142283933589438E-2</v>
      </c>
      <c r="O4" s="1" t="s">
        <v>6</v>
      </c>
      <c r="P4" s="1"/>
      <c r="Q4" s="3">
        <f>[21]Page1_1!$C$21/1000000000</f>
        <v>2313.8200947750001</v>
      </c>
      <c r="R4" s="3"/>
      <c r="S4" s="3">
        <f>[21]Page1_1!$E$21/1000000000</f>
        <v>2593.8661061060002</v>
      </c>
      <c r="T4" s="25">
        <f>S4/Q4-1</f>
        <v>0.12103188660319431</v>
      </c>
      <c r="V4" s="1" t="s">
        <v>6</v>
      </c>
      <c r="W4" s="1"/>
      <c r="X4" s="3">
        <f>[21]Page1_1!$C$20/1000000000</f>
        <v>2660.623942442</v>
      </c>
      <c r="Y4" s="3"/>
      <c r="Z4" s="3">
        <f>[21]Page1_1!$E$20/1000000000</f>
        <v>2930.123959349</v>
      </c>
      <c r="AA4" s="25">
        <f>Z4/X4-1</f>
        <v>0.10129203628064953</v>
      </c>
      <c r="AC4" s="1" t="s">
        <v>6</v>
      </c>
      <c r="AD4" s="1"/>
      <c r="AE4" s="3">
        <f>[21]Page1_1!$C$22/1000000000</f>
        <v>11559.086119621999</v>
      </c>
      <c r="AF4" s="3"/>
      <c r="AG4" s="3">
        <f>[21]Page1_1!$E$22/1000000000</f>
        <v>13278.194318832</v>
      </c>
      <c r="AH4" s="25">
        <f>AG4/AE4-1</f>
        <v>0.14872353933688132</v>
      </c>
    </row>
    <row r="5" spans="1:34" x14ac:dyDescent="0.25">
      <c r="A5" s="1" t="s">
        <v>7</v>
      </c>
      <c r="B5" s="1"/>
      <c r="C5" s="3">
        <f>([22]Page1_1!$C$5+[23]Page1_1!$B$7+[24]Page1_1!$B$7)/1000000000</f>
        <v>2146.3897950669998</v>
      </c>
      <c r="D5" s="3"/>
      <c r="E5" s="3">
        <f>([22]Page1_1!$E$5+[23]Page1_1!$D$7+[24]Page1_1!$D$7)/1000000000</f>
        <v>2264.6037809680001</v>
      </c>
      <c r="F5" s="25">
        <f>E5/C5-1</f>
        <v>5.5075730499972053E-2</v>
      </c>
      <c r="H5" s="1" t="s">
        <v>7</v>
      </c>
      <c r="I5" s="1"/>
      <c r="J5" s="3">
        <f>([22]Page1_1!$C$9+[23]Page1_1!$B$11+[24]Page1_1!$B$11)/1000000000</f>
        <v>577.11203485399994</v>
      </c>
      <c r="K5" s="3"/>
      <c r="L5" s="3">
        <f>([22]Page1_1!$E$9+[23]Page1_1!$D$11+[24]Page1_1!$D$11)/1000000000</f>
        <v>554.81911573499997</v>
      </c>
      <c r="M5" s="25">
        <f>L5/J5-1</f>
        <v>-3.862840795659328E-2</v>
      </c>
      <c r="O5" s="1" t="s">
        <v>7</v>
      </c>
      <c r="P5" s="1"/>
      <c r="Q5" s="3">
        <f>([22]Page1_1!$C$7+[23]Page1_1!$B$9+[24]Page1_1!$B$9)/1000000000</f>
        <v>1478.197589141</v>
      </c>
      <c r="R5" s="3"/>
      <c r="S5" s="3">
        <f>([22]Page1_1!$E$7+[23]Page1_1!$D$9+[24]Page1_1!$D$9)/1000000000</f>
        <v>1631.624082907</v>
      </c>
      <c r="T5" s="25">
        <f>S5/Q5-1</f>
        <v>0.10379295358962004</v>
      </c>
      <c r="V5" s="1" t="s">
        <v>7</v>
      </c>
      <c r="W5" s="1"/>
      <c r="X5" s="3">
        <f>([22]Page1_1!$C$6+[23]Page1_1!$B$8+[24]Page1_1!$B$8)/1000000000</f>
        <v>1986.2846282580001</v>
      </c>
      <c r="Y5" s="3"/>
      <c r="Z5" s="3">
        <f>([22]Page1_1!$E$6+[23]Page1_1!$D$8+[24]Page1_1!$D$8)/1000000000</f>
        <v>2127.514899793</v>
      </c>
      <c r="AA5" s="25">
        <f>Z5/X5-1</f>
        <v>7.1102735995525856E-2</v>
      </c>
      <c r="AC5" s="1" t="s">
        <v>7</v>
      </c>
      <c r="AD5" s="1"/>
      <c r="AE5" s="3">
        <f>([22]Page1_1!$C$8+[23]Page1_1!$B$10+[24]Page1_1!$B$10)/1000000000</f>
        <v>9232.8156699930005</v>
      </c>
      <c r="AF5" s="3"/>
      <c r="AG5" s="3">
        <f>([22]Page1_1!$E$8+[23]Page1_1!$D$10+[24]Page1_1!$D$10)/1000000000</f>
        <v>10729.832560879</v>
      </c>
      <c r="AH5" s="25">
        <f>AG5/AE5-1</f>
        <v>0.16214088360405166</v>
      </c>
    </row>
    <row r="6" spans="1:34" x14ac:dyDescent="0.25">
      <c r="A6" s="1" t="s">
        <v>8</v>
      </c>
      <c r="B6" s="1"/>
      <c r="C6" s="3">
        <f>[25]Page1_1!$C$52/1000000000</f>
        <v>2141.6765284439998</v>
      </c>
      <c r="D6" s="3"/>
      <c r="E6" s="3">
        <f>[25]Page1_1!$E$52/1000000000</f>
        <v>2264.3702516530002</v>
      </c>
      <c r="F6" s="25">
        <f>E6/C6-1</f>
        <v>5.7288634198247257E-2</v>
      </c>
      <c r="H6" s="1" t="s">
        <v>8</v>
      </c>
      <c r="I6" s="1"/>
      <c r="J6" s="3">
        <f>[25]Page1_1!$C$16/1000000000</f>
        <v>727.24673545999997</v>
      </c>
      <c r="K6" s="3"/>
      <c r="L6" s="3">
        <f>[25]Page1_1!$E$16/1000000000</f>
        <v>689.07946351400005</v>
      </c>
      <c r="M6" s="25">
        <f>L6/J6-1</f>
        <v>-5.2481874561950748E-2</v>
      </c>
      <c r="O6" s="1" t="s">
        <v>8</v>
      </c>
      <c r="P6" s="1"/>
      <c r="Q6" s="3">
        <f>[25]Page1_1!$C$34/1000000000</f>
        <v>1783.0127585990001</v>
      </c>
      <c r="R6" s="3"/>
      <c r="S6" s="3">
        <f>[25]Page1_1!$E$34/1000000000</f>
        <v>1777.175868646</v>
      </c>
      <c r="T6" s="25">
        <f>S6/Q6-1</f>
        <v>-3.2736108728612656E-3</v>
      </c>
      <c r="V6" s="1" t="s">
        <v>8</v>
      </c>
      <c r="W6" s="1"/>
      <c r="X6" s="3">
        <f>[25]Page1_1!$C$43/1000000000</f>
        <v>2068.5186746320001</v>
      </c>
      <c r="Y6" s="3"/>
      <c r="Z6" s="3">
        <f>[25]Page1_1!$E$43/1000000000</f>
        <v>2253.553185841</v>
      </c>
      <c r="AA6" s="25">
        <f>Z6/X6-1</f>
        <v>8.9452666528098135E-2</v>
      </c>
      <c r="AC6" s="1" t="s">
        <v>8</v>
      </c>
      <c r="AD6" s="1"/>
      <c r="AE6" s="3">
        <f>[25]Page1_1!$C$25/1000000000</f>
        <v>8905.3105077519995</v>
      </c>
      <c r="AF6" s="3"/>
      <c r="AG6" s="3">
        <f>[25]Page1_1!$E$25/1000000000</f>
        <v>10570.537186756001</v>
      </c>
      <c r="AH6" s="25">
        <f>AG6/AE6-1</f>
        <v>0.18699254535307164</v>
      </c>
    </row>
    <row r="7" spans="1:34" x14ac:dyDescent="0.25">
      <c r="A7" s="1" t="s">
        <v>9</v>
      </c>
      <c r="B7" s="1"/>
      <c r="C7" s="4">
        <f>[25]Page1_1!$C$53</f>
        <v>9.3965855461000003E-2</v>
      </c>
      <c r="D7" s="4"/>
      <c r="E7" s="4">
        <f>[25]Page1_1!$E$53</f>
        <v>9.5669851439999995E-2</v>
      </c>
      <c r="F7" s="26">
        <f>(E7-C7)*10000</f>
        <v>17.039959789999919</v>
      </c>
      <c r="H7" s="1" t="s">
        <v>9</v>
      </c>
      <c r="I7" s="1"/>
      <c r="J7" s="4">
        <f>[25]Page1_1!$C$17</f>
        <v>0.188984776183</v>
      </c>
      <c r="K7" s="4"/>
      <c r="L7" s="4">
        <f>[25]Page1_1!$E$17</f>
        <v>0.14356789822900001</v>
      </c>
      <c r="M7" s="26">
        <f>(L7-J7)*10000</f>
        <v>-454.16877953999983</v>
      </c>
      <c r="O7" s="1" t="s">
        <v>9</v>
      </c>
      <c r="P7" s="1"/>
      <c r="Q7" s="4">
        <f>[25]Page1_1!$C$35</f>
        <v>0.102548960417</v>
      </c>
      <c r="R7" s="4"/>
      <c r="S7" s="4">
        <f>[25]Page1_1!$E$35</f>
        <v>0.125978921464</v>
      </c>
      <c r="T7" s="26">
        <f>(S7-Q7)*10000</f>
        <v>234.29961047</v>
      </c>
      <c r="V7" s="1" t="s">
        <v>9</v>
      </c>
      <c r="W7" s="1"/>
      <c r="X7" s="4">
        <f>[25]Page1_1!$C$44</f>
        <v>0.110388223428</v>
      </c>
      <c r="Y7" s="4"/>
      <c r="Z7" s="4">
        <f>[25]Page1_1!$E$44</f>
        <v>0.116433990643</v>
      </c>
      <c r="AA7" s="26">
        <f>(Z7-X7)*10000</f>
        <v>60.457672149999972</v>
      </c>
      <c r="AC7" s="1" t="s">
        <v>9</v>
      </c>
      <c r="AD7" s="1"/>
      <c r="AE7" s="4">
        <f>[25]Page1_1!$C$26</f>
        <v>6.5035415287999998E-2</v>
      </c>
      <c r="AF7" s="4"/>
      <c r="AG7" s="4">
        <f>[25]Page1_1!$E$26</f>
        <v>6.1561604474999997E-2</v>
      </c>
      <c r="AH7" s="26">
        <f>(AG7-AE7)*10000</f>
        <v>-34.738108130000015</v>
      </c>
    </row>
    <row r="8" spans="1:34" x14ac:dyDescent="0.25">
      <c r="A8" s="1" t="s">
        <v>11</v>
      </c>
      <c r="B8" s="1"/>
      <c r="C8" s="2">
        <f>C6/C5</f>
        <v>0.99780409568018247</v>
      </c>
      <c r="D8" s="2"/>
      <c r="E8" s="2">
        <f>E6/E5</f>
        <v>0.99989687851050923</v>
      </c>
      <c r="F8" s="28">
        <f>(E8-C8)*10000</f>
        <v>20.92782830326767</v>
      </c>
      <c r="H8" s="1" t="s">
        <v>11</v>
      </c>
      <c r="I8" s="1"/>
      <c r="J8" s="2">
        <f>J6/J5</f>
        <v>1.2601482754453071</v>
      </c>
      <c r="K8" s="2"/>
      <c r="L8" s="2">
        <f>L6/L5</f>
        <v>1.2419894051435807</v>
      </c>
      <c r="M8" s="28">
        <f>(L8-J8)*10000</f>
        <v>-181.58870301726358</v>
      </c>
      <c r="O8" s="1" t="s">
        <v>11</v>
      </c>
      <c r="P8" s="1"/>
      <c r="Q8" s="2">
        <f>Q6/Q5</f>
        <v>1.2062073241745255</v>
      </c>
      <c r="R8" s="2"/>
      <c r="S8" s="2">
        <f>S6/S5</f>
        <v>1.089206691212645</v>
      </c>
      <c r="T8" s="28">
        <f>(S8-Q8)*10000</f>
        <v>-1170.0063296188046</v>
      </c>
      <c r="V8" s="1" t="s">
        <v>11</v>
      </c>
      <c r="W8" s="1"/>
      <c r="X8" s="2">
        <f>X6/X5</f>
        <v>1.0414009378132882</v>
      </c>
      <c r="Y8" s="2"/>
      <c r="Z8" s="2">
        <f>Z6/Z5</f>
        <v>1.0592420227281432</v>
      </c>
      <c r="AA8" s="28">
        <f>(Z8-X8)*10000</f>
        <v>178.4108491485492</v>
      </c>
      <c r="AC8" s="1" t="s">
        <v>11</v>
      </c>
      <c r="AD8" s="1"/>
      <c r="AE8" s="2">
        <f>AE6/AE5</f>
        <v>0.96452813811658722</v>
      </c>
      <c r="AF8" s="2"/>
      <c r="AG8" s="2">
        <f>AG6/AG5</f>
        <v>0.98515397391159754</v>
      </c>
      <c r="AH8" s="28">
        <f>(AG8-AE8)*10000</f>
        <v>206.25835795010317</v>
      </c>
    </row>
    <row r="9" spans="1:34" x14ac:dyDescent="0.25">
      <c r="A9" s="1" t="s">
        <v>22</v>
      </c>
      <c r="B9" s="1"/>
      <c r="C9" s="2"/>
      <c r="D9" s="2"/>
      <c r="E9" s="2"/>
      <c r="F9" s="28">
        <f>(E9-C9)*10000</f>
        <v>0</v>
      </c>
      <c r="H9" s="1" t="s">
        <v>22</v>
      </c>
      <c r="I9" s="1"/>
      <c r="J9" s="2"/>
      <c r="K9" s="2"/>
      <c r="L9" s="2"/>
      <c r="M9" s="28">
        <f>(L9-J9)*10000</f>
        <v>0</v>
      </c>
      <c r="O9" s="1" t="s">
        <v>22</v>
      </c>
      <c r="P9" s="1"/>
      <c r="Q9" s="2"/>
      <c r="R9" s="2"/>
      <c r="S9" s="2"/>
      <c r="T9" s="28">
        <f>(S9-Q9)*10000</f>
        <v>0</v>
      </c>
      <c r="V9" s="1" t="s">
        <v>22</v>
      </c>
      <c r="W9" s="1"/>
      <c r="X9" s="2"/>
      <c r="Y9" s="2"/>
      <c r="Z9" s="2"/>
      <c r="AA9" s="28">
        <f>(Z9-X9)*10000</f>
        <v>0</v>
      </c>
      <c r="AC9" s="1" t="s">
        <v>22</v>
      </c>
      <c r="AD9" s="1"/>
      <c r="AE9" s="2"/>
      <c r="AF9" s="2"/>
      <c r="AG9" s="2"/>
      <c r="AH9" s="28">
        <f>(AG9-AE9)*10000</f>
        <v>0</v>
      </c>
    </row>
    <row r="14" spans="1:34" x14ac:dyDescent="0.25">
      <c r="A14" s="155" t="s">
        <v>120</v>
      </c>
      <c r="B14" s="155"/>
      <c r="C14" s="155"/>
      <c r="D14" s="155"/>
      <c r="E14" s="155"/>
      <c r="F14" s="155"/>
      <c r="G14" s="155"/>
      <c r="H14" s="155"/>
      <c r="I14" s="31"/>
    </row>
    <row r="15" spans="1:34" x14ac:dyDescent="0.25">
      <c r="A15" s="155"/>
      <c r="B15" s="155"/>
      <c r="C15" s="155"/>
      <c r="D15" s="155"/>
      <c r="E15" s="155"/>
      <c r="F15" s="155"/>
      <c r="G15" s="155"/>
      <c r="H15" s="155"/>
      <c r="I15" s="31"/>
    </row>
    <row r="16" spans="1:34" x14ac:dyDescent="0.25">
      <c r="A16" s="134" t="s">
        <v>39</v>
      </c>
      <c r="B16" s="134"/>
      <c r="C16" s="134"/>
      <c r="D16" s="134"/>
      <c r="E16" s="134"/>
      <c r="F16" s="134"/>
      <c r="H16" s="134" t="s">
        <v>40</v>
      </c>
      <c r="I16" s="134"/>
      <c r="J16" s="134"/>
      <c r="K16" s="134"/>
      <c r="L16" s="134"/>
      <c r="M16" s="134"/>
      <c r="O16" s="134" t="s">
        <v>41</v>
      </c>
      <c r="P16" s="134"/>
      <c r="Q16" s="134"/>
      <c r="R16" s="134"/>
      <c r="S16" s="134"/>
      <c r="T16" s="134"/>
      <c r="V16" s="134" t="s">
        <v>42</v>
      </c>
      <c r="W16" s="134"/>
      <c r="X16" s="134"/>
      <c r="Y16" s="134"/>
      <c r="Z16" s="134"/>
      <c r="AA16" s="134"/>
      <c r="AC16" s="134" t="s">
        <v>43</v>
      </c>
      <c r="AD16" s="134"/>
      <c r="AE16" s="134"/>
      <c r="AF16" s="134"/>
      <c r="AG16" s="134"/>
      <c r="AH16" s="134"/>
    </row>
    <row r="17" spans="1:39" x14ac:dyDescent="0.25">
      <c r="A17" s="135"/>
      <c r="B17" s="149" t="s">
        <v>1</v>
      </c>
      <c r="C17" s="150"/>
      <c r="D17" s="150"/>
      <c r="E17" s="151"/>
      <c r="F17" s="137" t="s">
        <v>3</v>
      </c>
      <c r="H17" s="135"/>
      <c r="I17" s="149" t="s">
        <v>1</v>
      </c>
      <c r="J17" s="150"/>
      <c r="K17" s="150"/>
      <c r="L17" s="151"/>
      <c r="M17" s="137" t="s">
        <v>3</v>
      </c>
      <c r="O17" s="135"/>
      <c r="P17" s="149" t="s">
        <v>1</v>
      </c>
      <c r="Q17" s="150"/>
      <c r="R17" s="150"/>
      <c r="S17" s="151"/>
      <c r="T17" s="137" t="s">
        <v>3</v>
      </c>
      <c r="V17" s="135"/>
      <c r="W17" s="149" t="s">
        <v>1</v>
      </c>
      <c r="X17" s="150"/>
      <c r="Y17" s="150"/>
      <c r="Z17" s="151"/>
      <c r="AA17" s="137" t="s">
        <v>3</v>
      </c>
      <c r="AC17" s="135"/>
      <c r="AD17" s="149" t="s">
        <v>1</v>
      </c>
      <c r="AE17" s="150"/>
      <c r="AF17" s="150"/>
      <c r="AG17" s="151"/>
      <c r="AH17" s="137" t="s">
        <v>3</v>
      </c>
    </row>
    <row r="18" spans="1:39" x14ac:dyDescent="0.25">
      <c r="A18" s="136"/>
      <c r="B18" s="9">
        <v>45627</v>
      </c>
      <c r="C18" s="9">
        <v>45839</v>
      </c>
      <c r="D18" s="9">
        <v>45992</v>
      </c>
      <c r="E18" s="9">
        <v>46204</v>
      </c>
      <c r="F18" s="137"/>
      <c r="H18" s="136"/>
      <c r="I18" s="9">
        <v>45627</v>
      </c>
      <c r="J18" s="9">
        <v>45839</v>
      </c>
      <c r="K18" s="9">
        <v>45992</v>
      </c>
      <c r="L18" s="9">
        <v>46204</v>
      </c>
      <c r="M18" s="137"/>
      <c r="O18" s="136"/>
      <c r="P18" s="9">
        <v>45627</v>
      </c>
      <c r="Q18" s="9">
        <v>45839</v>
      </c>
      <c r="R18" s="9">
        <v>45992</v>
      </c>
      <c r="S18" s="9">
        <v>46204</v>
      </c>
      <c r="T18" s="137"/>
      <c r="V18" s="136"/>
      <c r="W18" s="9">
        <v>45627</v>
      </c>
      <c r="X18" s="9">
        <v>45839</v>
      </c>
      <c r="Y18" s="9">
        <v>45992</v>
      </c>
      <c r="Z18" s="9">
        <v>46204</v>
      </c>
      <c r="AA18" s="137"/>
      <c r="AC18" s="136"/>
      <c r="AD18" s="9">
        <v>45627</v>
      </c>
      <c r="AE18" s="9">
        <v>45839</v>
      </c>
      <c r="AF18" s="9">
        <v>45992</v>
      </c>
      <c r="AG18" s="9">
        <v>46204</v>
      </c>
      <c r="AH18" s="137"/>
    </row>
    <row r="19" spans="1:39" x14ac:dyDescent="0.25">
      <c r="A19" s="1" t="s">
        <v>6</v>
      </c>
      <c r="B19" s="3">
        <v>2889.5634372300001</v>
      </c>
      <c r="C19" s="3">
        <v>2969.57</v>
      </c>
      <c r="D19" s="3">
        <v>3180.8967034950001</v>
      </c>
      <c r="E19" s="3">
        <v>3689.826</v>
      </c>
      <c r="F19" s="25">
        <f>E19/C19-1</f>
        <v>0.24254555373336872</v>
      </c>
      <c r="H19" s="1" t="s">
        <v>6</v>
      </c>
      <c r="I19" s="3">
        <v>958.31</v>
      </c>
      <c r="J19" s="3">
        <v>921</v>
      </c>
      <c r="K19" s="3">
        <v>933</v>
      </c>
      <c r="L19" s="3">
        <v>943</v>
      </c>
      <c r="M19" s="25">
        <f>L19/J19-1</f>
        <v>2.3887079261672106E-2</v>
      </c>
      <c r="O19" s="1" t="s">
        <v>6</v>
      </c>
      <c r="P19" s="3">
        <v>2401.9883395390002</v>
      </c>
      <c r="Q19" s="3">
        <v>2444.77</v>
      </c>
      <c r="R19" s="3">
        <v>2603.1</v>
      </c>
      <c r="S19" s="3">
        <v>2634.47</v>
      </c>
      <c r="T19" s="25">
        <f>S19/Q19-1</f>
        <v>7.7594211316401873E-2</v>
      </c>
      <c r="V19" s="1" t="s">
        <v>6</v>
      </c>
      <c r="W19" s="3">
        <v>2787.5324080330001</v>
      </c>
      <c r="X19" s="3">
        <v>2895.1621224989999</v>
      </c>
      <c r="Y19" s="3">
        <v>3114.880797329</v>
      </c>
      <c r="Z19" s="3">
        <v>3035.3600527670001</v>
      </c>
      <c r="AA19" s="25">
        <f>Z19/X19-1</f>
        <v>4.8424897928336597E-2</v>
      </c>
      <c r="AC19" s="1" t="s">
        <v>6</v>
      </c>
      <c r="AD19" s="3">
        <v>12220</v>
      </c>
      <c r="AE19" s="3">
        <v>12747</v>
      </c>
      <c r="AF19" s="3">
        <v>13880</v>
      </c>
      <c r="AG19" s="3">
        <v>14051</v>
      </c>
      <c r="AH19" s="25">
        <f>AG19/AE19-1</f>
        <v>0.10229858005805292</v>
      </c>
    </row>
    <row r="20" spans="1:39" x14ac:dyDescent="0.25">
      <c r="A20" s="1" t="s">
        <v>7</v>
      </c>
      <c r="B20" s="3">
        <v>2165.43661969</v>
      </c>
      <c r="C20" s="3">
        <v>2206.154</v>
      </c>
      <c r="D20" s="3">
        <v>2331.8936355119999</v>
      </c>
      <c r="E20" s="3">
        <v>2730.2890000000002</v>
      </c>
      <c r="F20" s="25">
        <f>E20/C20-1</f>
        <v>0.23757860965281674</v>
      </c>
      <c r="H20" s="1" t="s">
        <v>7</v>
      </c>
      <c r="I20" s="3">
        <v>581.11</v>
      </c>
      <c r="J20" s="3">
        <v>569</v>
      </c>
      <c r="K20" s="3">
        <v>583</v>
      </c>
      <c r="L20" s="3">
        <v>588</v>
      </c>
      <c r="M20" s="25">
        <f>L20/J20-1</f>
        <v>3.3391915641476366E-2</v>
      </c>
      <c r="O20" s="1" t="s">
        <v>7</v>
      </c>
      <c r="P20" s="3">
        <v>1537.3946262039999</v>
      </c>
      <c r="Q20" s="3">
        <v>1591.55</v>
      </c>
      <c r="R20" s="3">
        <v>1687.85</v>
      </c>
      <c r="S20" s="3">
        <v>1761.84</v>
      </c>
      <c r="T20" s="25">
        <f>S20/Q20-1</f>
        <v>0.10699632433790951</v>
      </c>
      <c r="V20" s="1" t="s">
        <v>7</v>
      </c>
      <c r="W20" s="3">
        <v>2076.9745849659998</v>
      </c>
      <c r="X20" s="3">
        <v>2003.45313575</v>
      </c>
      <c r="Y20" s="3">
        <v>2286.5986578369998</v>
      </c>
      <c r="Z20" s="3">
        <v>2217.2963604880001</v>
      </c>
      <c r="AA20" s="25">
        <f>Z20/X20-1</f>
        <v>0.10673732313581019</v>
      </c>
      <c r="AC20" s="1" t="s">
        <v>7</v>
      </c>
      <c r="AD20" s="3">
        <v>9691</v>
      </c>
      <c r="AE20" s="3">
        <v>10328</v>
      </c>
      <c r="AF20" s="3">
        <v>10804</v>
      </c>
      <c r="AG20" s="3">
        <v>10983</v>
      </c>
      <c r="AH20" s="25">
        <f>AG20/AE20-1</f>
        <v>6.341982958946546E-2</v>
      </c>
    </row>
    <row r="21" spans="1:39" ht="14.4" x14ac:dyDescent="0.3">
      <c r="A21" s="1" t="s">
        <v>8</v>
      </c>
      <c r="B21" s="3">
        <v>2170.270681942</v>
      </c>
      <c r="C21" s="3">
        <v>2216.4520000000002</v>
      </c>
      <c r="D21" s="3">
        <v>2326.613255879</v>
      </c>
      <c r="E21" s="3">
        <v>2747.73</v>
      </c>
      <c r="F21" s="25">
        <f>E21/C21-1</f>
        <v>0.23969749852466893</v>
      </c>
      <c r="H21" s="1" t="s">
        <v>8</v>
      </c>
      <c r="I21" s="3">
        <v>720.14</v>
      </c>
      <c r="J21" s="3">
        <v>714</v>
      </c>
      <c r="K21" s="3">
        <v>697</v>
      </c>
      <c r="L21" s="3">
        <v>714</v>
      </c>
      <c r="M21" s="25">
        <f>L21/J21-1</f>
        <v>0</v>
      </c>
      <c r="O21" s="1" t="s">
        <v>8</v>
      </c>
      <c r="P21" s="3">
        <v>1762.1137568669999</v>
      </c>
      <c r="Q21" s="3">
        <v>1832.32</v>
      </c>
      <c r="R21" s="3">
        <v>1831.73</v>
      </c>
      <c r="S21" s="3">
        <v>1868.65</v>
      </c>
      <c r="T21" s="25">
        <f>S21/Q21-1</f>
        <v>1.9827322738386499E-2</v>
      </c>
      <c r="V21" s="1" t="s">
        <v>8</v>
      </c>
      <c r="W21" s="3">
        <v>2092.874260476</v>
      </c>
      <c r="X21" s="3">
        <v>2244.1836817909998</v>
      </c>
      <c r="Y21" s="3">
        <v>2254.182035715</v>
      </c>
      <c r="Z21" s="3">
        <v>2236.4259494560001</v>
      </c>
      <c r="AA21" s="25">
        <f>Z21/X21-1</f>
        <v>-3.4568170145540256E-3</v>
      </c>
      <c r="AC21" s="1" t="s">
        <v>8</v>
      </c>
      <c r="AD21" s="3">
        <v>9484</v>
      </c>
      <c r="AE21" s="3">
        <v>10180</v>
      </c>
      <c r="AF21" s="3">
        <v>10780</v>
      </c>
      <c r="AG21" s="3">
        <v>11078</v>
      </c>
      <c r="AH21" s="25">
        <f>AG21/AE21-1</f>
        <v>8.8212180746561897E-2</v>
      </c>
      <c r="AK21" s="107">
        <f>SUM(C21,J21,Q21,X21,AE21)</f>
        <v>17186.955681790998</v>
      </c>
      <c r="AL21" s="107">
        <f>SUM(D21,K21,R21,Y21,AF21)</f>
        <v>17889.525291594</v>
      </c>
      <c r="AM21" s="107">
        <f>SUM(E21,L21,S21,Z21,AG21)</f>
        <v>18644.805949456</v>
      </c>
    </row>
    <row r="22" spans="1:39" ht="14.4" x14ac:dyDescent="0.3">
      <c r="A22" s="1" t="s">
        <v>9</v>
      </c>
      <c r="B22" s="4">
        <v>9.3691382647988167E-2</v>
      </c>
      <c r="C22" s="4">
        <v>9.4500000000000001E-2</v>
      </c>
      <c r="D22" s="4">
        <v>9.3470236701727633E-2</v>
      </c>
      <c r="E22" s="4">
        <v>0.1032</v>
      </c>
      <c r="F22" s="26">
        <f>(E22-C22)*10000</f>
        <v>87</v>
      </c>
      <c r="H22" s="1" t="s">
        <v>9</v>
      </c>
      <c r="I22" s="4">
        <v>0.17799999999999999</v>
      </c>
      <c r="J22" s="4">
        <v>0.21060000000000001</v>
      </c>
      <c r="K22" s="4">
        <v>0.13900000000000001</v>
      </c>
      <c r="L22" s="4">
        <v>0.1295</v>
      </c>
      <c r="M22" s="26">
        <f>(L22-J22)*10000</f>
        <v>-811</v>
      </c>
      <c r="O22" s="1" t="s">
        <v>9</v>
      </c>
      <c r="P22" s="4">
        <v>9.4600000000000004E-2</v>
      </c>
      <c r="Q22" s="128">
        <v>0.1371</v>
      </c>
      <c r="R22" s="128">
        <v>0.11559999999999999</v>
      </c>
      <c r="S22" s="128">
        <v>0.1381</v>
      </c>
      <c r="T22" s="26">
        <f>(S22-Q22)*10000</f>
        <v>10.000000000000009</v>
      </c>
      <c r="V22" s="1" t="s">
        <v>9</v>
      </c>
      <c r="W22" s="4">
        <v>9.5098883759139038E-2</v>
      </c>
      <c r="X22" s="4">
        <v>0.11846207108449984</v>
      </c>
      <c r="Y22" s="4">
        <v>9.5908686497639173E-2</v>
      </c>
      <c r="Z22" s="4">
        <v>0.10910694296596861</v>
      </c>
      <c r="AA22" s="26">
        <f>(Z22-X22)*10000</f>
        <v>-93.551281185312305</v>
      </c>
      <c r="AC22" s="1" t="s">
        <v>9</v>
      </c>
      <c r="AD22" s="4">
        <v>5.8799999999999998E-2</v>
      </c>
      <c r="AE22" s="4">
        <v>7.9299999999999995E-2</v>
      </c>
      <c r="AF22" s="4">
        <v>6.8900000000000003E-2</v>
      </c>
      <c r="AG22" s="4">
        <v>8.7800000000000003E-2</v>
      </c>
      <c r="AH22" s="26">
        <f>(AG22-AE22)*10000</f>
        <v>85.000000000000071</v>
      </c>
      <c r="AK22" s="108">
        <f>(C22*C21)+(J22*J21)+(Q22*Q21)+(X22*X21)+(AE22*AE21)</f>
        <v>1684.1588328390001</v>
      </c>
      <c r="AL22" s="108">
        <f>(D22*D21)+(K22*K21)+(R22*R21)+(Y22*Y21)+(AF22*AF21)</f>
        <v>1485.0377179123875</v>
      </c>
      <c r="AM22" s="108">
        <f>(E22*E21)+(L22*L21)+(S22*S21)+(Z22*Z21)+(AG22*AG21)</f>
        <v>1850.747299514908</v>
      </c>
    </row>
    <row r="23" spans="1:39" ht="13.5" customHeight="1" x14ac:dyDescent="0.25">
      <c r="A23" s="1" t="s">
        <v>108</v>
      </c>
      <c r="B23" s="4"/>
      <c r="C23" s="4">
        <v>6.8500000000000005E-2</v>
      </c>
      <c r="D23" s="4">
        <v>6.5699999999999995E-2</v>
      </c>
      <c r="E23" s="4">
        <v>5.5199999999999999E-2</v>
      </c>
      <c r="F23" s="26">
        <f>(E23-C23)*10000</f>
        <v>-133.00000000000006</v>
      </c>
      <c r="H23" s="1" t="s">
        <v>108</v>
      </c>
      <c r="I23" s="4"/>
      <c r="J23" s="4">
        <v>0.1285</v>
      </c>
      <c r="K23" s="4">
        <v>0.1111</v>
      </c>
      <c r="L23" s="4">
        <v>0.1021</v>
      </c>
      <c r="M23" s="26">
        <f>(L23-J23)*10000</f>
        <v>-264.00000000000006</v>
      </c>
      <c r="O23" s="1" t="s">
        <v>108</v>
      </c>
      <c r="P23" s="4"/>
      <c r="Q23" s="128">
        <v>9.6199999999999994E-2</v>
      </c>
      <c r="R23" s="128">
        <v>6.8099999999999994E-2</v>
      </c>
      <c r="S23" s="128">
        <v>8.6199999999999999E-2</v>
      </c>
      <c r="T23" s="26">
        <f>(S23-Q23)*10000</f>
        <v>-99.999999999999943</v>
      </c>
      <c r="V23" s="1" t="s">
        <v>108</v>
      </c>
      <c r="W23" s="4"/>
      <c r="X23" s="4">
        <v>7.7429850612461076E-2</v>
      </c>
      <c r="Y23" s="4">
        <v>5.8952804248947333E-2</v>
      </c>
      <c r="Z23" s="4">
        <v>7.3840386036977387E-2</v>
      </c>
      <c r="AA23" s="26">
        <f>(Z23-X23)*10000</f>
        <v>-35.894645754836887</v>
      </c>
      <c r="AC23" s="1" t="s">
        <v>108</v>
      </c>
      <c r="AD23" s="4"/>
      <c r="AE23" s="4">
        <v>6.5600000000000006E-2</v>
      </c>
      <c r="AF23" s="4">
        <v>5.0900000000000001E-2</v>
      </c>
      <c r="AG23" s="4">
        <v>7.6499999999999999E-2</v>
      </c>
      <c r="AH23" s="26">
        <f>(AG23-AE23)*10000</f>
        <v>108.99999999999993</v>
      </c>
      <c r="AK23" s="18">
        <f>AK22/AK21</f>
        <v>9.799052630497615E-2</v>
      </c>
      <c r="AL23" s="18">
        <f>AL22/AL21</f>
        <v>8.3011577652660401E-2</v>
      </c>
      <c r="AM23" s="18">
        <f>AM22/AM21</f>
        <v>9.9263425134703931E-2</v>
      </c>
    </row>
    <row r="24" spans="1:39" x14ac:dyDescent="0.25">
      <c r="A24" s="1" t="s">
        <v>11</v>
      </c>
      <c r="B24" s="2">
        <v>1.0022323730041529</v>
      </c>
      <c r="C24" s="2">
        <v>1.004</v>
      </c>
      <c r="D24" s="2">
        <v>0.997</v>
      </c>
      <c r="E24" s="2">
        <v>1.006</v>
      </c>
      <c r="F24" s="28">
        <f>(E24-C24)*10000</f>
        <v>20.000000000000018</v>
      </c>
      <c r="H24" s="1" t="s">
        <v>11</v>
      </c>
      <c r="I24" s="2">
        <v>1.2392490234206948</v>
      </c>
      <c r="J24" s="2">
        <v>1.2548330404217927</v>
      </c>
      <c r="K24" s="2">
        <v>1.195540308747856</v>
      </c>
      <c r="L24" s="2">
        <v>1.2142857142857142</v>
      </c>
      <c r="M24" s="28">
        <f>(L24-J24)*10000</f>
        <v>-405.47326136078476</v>
      </c>
      <c r="O24" s="1" t="s">
        <v>11</v>
      </c>
      <c r="P24" s="2">
        <v>1.1462000000000001</v>
      </c>
      <c r="Q24" s="2">
        <v>1.1513</v>
      </c>
      <c r="R24" s="2">
        <v>1.0851999999999999</v>
      </c>
      <c r="S24" s="2">
        <v>1.0601</v>
      </c>
      <c r="T24" s="28">
        <f>(S24-Q24)*10000</f>
        <v>-911.99999999999943</v>
      </c>
      <c r="V24" s="1" t="s">
        <v>11</v>
      </c>
      <c r="W24" s="2">
        <v>1.0076552094691427</v>
      </c>
      <c r="X24" s="2">
        <v>1.1201578124016769</v>
      </c>
      <c r="Y24" s="2">
        <v>0.9858232130020298</v>
      </c>
      <c r="Z24" s="2">
        <v>1.0086274389427086</v>
      </c>
      <c r="AA24" s="28">
        <f>(Z24-X24)*10000</f>
        <v>-1115.3037345896832</v>
      </c>
      <c r="AC24" s="1" t="s">
        <v>11</v>
      </c>
      <c r="AD24" s="2">
        <v>0.97870000000000001</v>
      </c>
      <c r="AE24" s="2">
        <v>0.88349999999999995</v>
      </c>
      <c r="AF24" s="2">
        <v>0.99770000000000003</v>
      </c>
      <c r="AG24" s="2">
        <v>1.0931999999999999</v>
      </c>
      <c r="AH24" s="28">
        <f>(AG24-AE24)*10000</f>
        <v>2097</v>
      </c>
    </row>
    <row r="25" spans="1:39" x14ac:dyDescent="0.25">
      <c r="A25" s="1" t="s">
        <v>81</v>
      </c>
      <c r="B25" s="1"/>
      <c r="C25" s="2">
        <v>0.30430000000000001</v>
      </c>
      <c r="D25" s="2">
        <v>0.26279999999999998</v>
      </c>
      <c r="E25" s="2">
        <v>0.2455</v>
      </c>
      <c r="F25" s="26">
        <f>(E25-C25)*10000</f>
        <v>-588.00000000000023</v>
      </c>
      <c r="H25" s="1" t="s">
        <v>81</v>
      </c>
      <c r="I25" s="1"/>
      <c r="J25" s="2">
        <v>0.39689999999999998</v>
      </c>
      <c r="K25" s="2">
        <v>0.36770000000000003</v>
      </c>
      <c r="L25" s="2">
        <v>0.3821</v>
      </c>
      <c r="M25" s="26">
        <f>(L25-J25)*10000</f>
        <v>-147.9999999999998</v>
      </c>
      <c r="O25" s="1" t="s">
        <v>81</v>
      </c>
      <c r="P25" s="74"/>
      <c r="Q25" s="2">
        <v>0.31159999999999999</v>
      </c>
      <c r="R25" s="2">
        <v>0.2752</v>
      </c>
      <c r="S25" s="2">
        <v>0.29920000000000002</v>
      </c>
      <c r="T25" s="26">
        <f>(S25-Q25)*10000</f>
        <v>-123.99999999999966</v>
      </c>
      <c r="V25" s="1" t="s">
        <v>81</v>
      </c>
      <c r="W25" s="1"/>
      <c r="X25" s="2">
        <v>0.3464732275107118</v>
      </c>
      <c r="Y25" s="2">
        <v>0.24092099192456809</v>
      </c>
      <c r="Z25" s="2">
        <v>0.32543349437057906</v>
      </c>
      <c r="AA25" s="26">
        <f>(Z25-X25)*10000</f>
        <v>-210.39733140132745</v>
      </c>
      <c r="AC25" s="1" t="s">
        <v>81</v>
      </c>
      <c r="AD25" s="1"/>
      <c r="AE25" s="2">
        <v>0.14410000000000001</v>
      </c>
      <c r="AF25" s="2">
        <v>0.1278</v>
      </c>
      <c r="AG25" s="2">
        <v>0.13569999999999999</v>
      </c>
      <c r="AH25" s="26">
        <f>(AG25-AE25)*10000</f>
        <v>-84.000000000000185</v>
      </c>
    </row>
    <row r="26" spans="1:39" ht="14.4" thickBot="1" x14ac:dyDescent="0.3">
      <c r="A26" s="1" t="s">
        <v>22</v>
      </c>
      <c r="B26" s="2">
        <v>0.26519999999999999</v>
      </c>
      <c r="C26" s="2">
        <v>0.2898</v>
      </c>
      <c r="D26" s="2">
        <v>0.30049999999999999</v>
      </c>
      <c r="E26" s="2">
        <v>0.28760000000000002</v>
      </c>
      <c r="F26" s="28">
        <f>(E26-C26)*10000</f>
        <v>-21.999999999999797</v>
      </c>
      <c r="H26" s="1" t="s">
        <v>22</v>
      </c>
      <c r="I26" s="2">
        <v>0.38129999999999997</v>
      </c>
      <c r="J26" s="2">
        <v>0.39903846153846156</v>
      </c>
      <c r="K26" s="2">
        <v>0.42430703624733473</v>
      </c>
      <c r="L26" s="2">
        <v>0.47417840375586856</v>
      </c>
      <c r="M26" s="28">
        <f>(L26-J26)*10000</f>
        <v>751.39942217406997</v>
      </c>
      <c r="O26" s="1" t="s">
        <v>22</v>
      </c>
      <c r="P26" s="2">
        <v>0.31690000000000002</v>
      </c>
      <c r="Q26" s="2">
        <v>0.3461109824193051</v>
      </c>
      <c r="R26" s="2">
        <v>0.34049504699483851</v>
      </c>
      <c r="S26" s="2">
        <v>0.33032780340844325</v>
      </c>
      <c r="T26" s="28">
        <f>(S26-Q26)*10000</f>
        <v>-157.83179010861846</v>
      </c>
      <c r="V26" s="1" t="s">
        <v>22</v>
      </c>
      <c r="W26" s="2">
        <v>0.27289999999999998</v>
      </c>
      <c r="X26" s="2">
        <v>0.28931996264265625</v>
      </c>
      <c r="Y26" s="2">
        <v>0.30046879155609718</v>
      </c>
      <c r="Z26" s="2">
        <v>0.29066658852631977</v>
      </c>
      <c r="AA26" s="28">
        <f>(Z26-X26)*10000</f>
        <v>13.466258836635214</v>
      </c>
      <c r="AC26" s="1" t="s">
        <v>22</v>
      </c>
      <c r="AD26" s="2">
        <v>0.25769999999999998</v>
      </c>
      <c r="AE26" s="2">
        <v>0.34639999999999999</v>
      </c>
      <c r="AF26" s="2">
        <v>0.34889999999999999</v>
      </c>
      <c r="AG26" s="2">
        <v>0.3347</v>
      </c>
      <c r="AH26" s="28">
        <f>(AG26-AE26)*10000</f>
        <v>-116.99999999999989</v>
      </c>
    </row>
    <row r="27" spans="1:39" x14ac:dyDescent="0.25">
      <c r="AJ27" s="152" t="s">
        <v>125</v>
      </c>
      <c r="AK27" s="153"/>
      <c r="AL27" s="153"/>
      <c r="AM27" s="154"/>
    </row>
    <row r="28" spans="1:39" x14ac:dyDescent="0.25">
      <c r="A28" s="1" t="s">
        <v>70</v>
      </c>
      <c r="B28" s="1"/>
      <c r="C28" s="60">
        <v>462.786</v>
      </c>
      <c r="D28" s="60">
        <v>511.81299999999999</v>
      </c>
      <c r="E28" s="60">
        <v>569.46</v>
      </c>
      <c r="F28" s="25">
        <f>E28/C28-1</f>
        <v>0.23050394782901829</v>
      </c>
      <c r="H28" s="1" t="s">
        <v>70</v>
      </c>
      <c r="I28" s="1"/>
      <c r="J28" s="73">
        <v>166</v>
      </c>
      <c r="K28" s="73">
        <v>199</v>
      </c>
      <c r="L28" s="73">
        <v>202</v>
      </c>
      <c r="M28" s="25">
        <f>L28/J28-1</f>
        <v>0.2168674698795181</v>
      </c>
      <c r="O28" s="1" t="s">
        <v>70</v>
      </c>
      <c r="P28" s="1"/>
      <c r="Q28" s="60">
        <v>410.99490663799997</v>
      </c>
      <c r="R28" s="60">
        <v>415.35322149400002</v>
      </c>
      <c r="S28" s="60">
        <v>416.47977931100002</v>
      </c>
      <c r="T28" s="25">
        <f>S28/Q28-1</f>
        <v>1.3345354369150408E-2</v>
      </c>
      <c r="V28" s="1" t="s">
        <v>70</v>
      </c>
      <c r="W28" s="1"/>
      <c r="X28" s="60">
        <v>439.09913648100002</v>
      </c>
      <c r="Y28" s="60">
        <v>462.18616875499998</v>
      </c>
      <c r="Z28" s="60">
        <v>445.15549503599999</v>
      </c>
      <c r="AA28" s="25">
        <f>Z28/X28-1</f>
        <v>1.3792690651902584E-2</v>
      </c>
      <c r="AC28" s="1" t="s">
        <v>70</v>
      </c>
      <c r="AD28" s="1"/>
      <c r="AE28" s="73">
        <v>1364</v>
      </c>
      <c r="AF28" s="73">
        <v>1444</v>
      </c>
      <c r="AG28" s="73">
        <v>1466</v>
      </c>
      <c r="AH28" s="25">
        <f>AG28/AE28-1</f>
        <v>7.4780058651026327E-2</v>
      </c>
      <c r="AJ28" s="55" t="s">
        <v>70</v>
      </c>
      <c r="AK28" s="54">
        <f>SUM(C28,J28,Q28,X28,AE28)</f>
        <v>2842.8800431190002</v>
      </c>
      <c r="AL28" s="54">
        <f>SUM(E28,L28,S28,Z28,AG28)</f>
        <v>3099.0952743470002</v>
      </c>
      <c r="AM28" s="132">
        <f>AL28/AK28-1</f>
        <v>9.0125234741490923E-2</v>
      </c>
    </row>
    <row r="29" spans="1:39" x14ac:dyDescent="0.25">
      <c r="A29" s="1" t="s">
        <v>69</v>
      </c>
      <c r="B29" s="1"/>
      <c r="C29" s="60">
        <v>1596.83</v>
      </c>
      <c r="D29" s="60">
        <v>1703.624</v>
      </c>
      <c r="E29" s="60">
        <v>1979.81</v>
      </c>
      <c r="F29" s="53">
        <f>E29/C29-1</f>
        <v>0.23983767840033066</v>
      </c>
      <c r="H29" s="1" t="s">
        <v>69</v>
      </c>
      <c r="I29" s="1"/>
      <c r="J29" s="73">
        <v>416</v>
      </c>
      <c r="K29" s="73">
        <v>469</v>
      </c>
      <c r="L29" s="73">
        <v>426</v>
      </c>
      <c r="M29" s="53">
        <f>L29/J29-1</f>
        <v>2.4038461538461453E-2</v>
      </c>
      <c r="O29" s="1" t="s">
        <v>69</v>
      </c>
      <c r="P29" s="1"/>
      <c r="Q29" s="60">
        <v>1187.4656613469999</v>
      </c>
      <c r="R29" s="60">
        <v>1219.8509938980001</v>
      </c>
      <c r="S29" s="60">
        <v>1260.8075221449999</v>
      </c>
      <c r="T29" s="53">
        <f>S29/Q29-1</f>
        <v>6.176335298387059E-2</v>
      </c>
      <c r="V29" s="1" t="s">
        <v>69</v>
      </c>
      <c r="W29" s="1"/>
      <c r="X29" s="60">
        <v>1517.6938793654499</v>
      </c>
      <c r="Y29" s="60">
        <v>1538.2168855586799</v>
      </c>
      <c r="Z29" s="60">
        <v>1531.4986744535699</v>
      </c>
      <c r="AA29" s="53">
        <f>Z29/X29-1</f>
        <v>9.0959021946452889E-3</v>
      </c>
      <c r="AC29" s="1" t="s">
        <v>69</v>
      </c>
      <c r="AD29" s="1"/>
      <c r="AE29" s="73">
        <v>5062</v>
      </c>
      <c r="AF29" s="73">
        <v>5386</v>
      </c>
      <c r="AG29" s="73">
        <v>5508</v>
      </c>
      <c r="AH29" s="53">
        <f>AG29/AE29-1</f>
        <v>8.8107467404188178E-2</v>
      </c>
      <c r="AJ29" s="56" t="s">
        <v>69</v>
      </c>
      <c r="AK29" s="54">
        <f>SUM(C29,J29,Q29,X29,AE29)</f>
        <v>9779.9895407124495</v>
      </c>
      <c r="AL29" s="54">
        <f>SUM(E29,L29,S29,Z29,AG29)</f>
        <v>10706.11619659857</v>
      </c>
      <c r="AM29" s="132">
        <f>AL29/AK29-1</f>
        <v>9.4696078357835889E-2</v>
      </c>
    </row>
    <row r="30" spans="1:39" ht="14.4" thickBot="1" x14ac:dyDescent="0.3">
      <c r="AJ30" s="57" t="s">
        <v>22</v>
      </c>
      <c r="AK30" s="58">
        <f>AK28/AK29</f>
        <v>0.29068334186704081</v>
      </c>
      <c r="AL30" s="58">
        <f>AL28/AL29</f>
        <v>0.28946960946786759</v>
      </c>
      <c r="AM30" s="133">
        <f>(AL30-AK30)*10000</f>
        <v>-12.137323991732174</v>
      </c>
    </row>
    <row r="32" spans="1:39" x14ac:dyDescent="0.25">
      <c r="V32" s="111" cm="1">
        <f t="array" ref="V32:Z35">TRANSPOSE(C34:F38)/1000</f>
        <v>2.8895634372300001</v>
      </c>
      <c r="W32" s="111">
        <v>0.95831</v>
      </c>
      <c r="X32" s="111">
        <v>2.4019883395390003</v>
      </c>
      <c r="Y32" s="111">
        <v>2.787532408033</v>
      </c>
      <c r="Z32" s="111">
        <v>12.22</v>
      </c>
    </row>
    <row r="33" spans="1:26" x14ac:dyDescent="0.25">
      <c r="A33" s="63"/>
      <c r="B33" s="64"/>
      <c r="C33" s="65">
        <v>45627</v>
      </c>
      <c r="D33" s="65">
        <v>45839</v>
      </c>
      <c r="E33" s="65">
        <v>45992</v>
      </c>
      <c r="F33" s="65">
        <v>46204</v>
      </c>
      <c r="V33" s="111">
        <v>2.96957</v>
      </c>
      <c r="W33" s="111">
        <v>0.92100000000000004</v>
      </c>
      <c r="X33" s="111">
        <v>2.4447700000000001</v>
      </c>
      <c r="Y33" s="111">
        <v>2.8951621224989998</v>
      </c>
      <c r="Z33" s="111">
        <v>12.747</v>
      </c>
    </row>
    <row r="34" spans="1:26" x14ac:dyDescent="0.25">
      <c r="A34" s="62" t="s">
        <v>6</v>
      </c>
      <c r="B34" s="1" t="s">
        <v>71</v>
      </c>
      <c r="C34" s="50">
        <f>$B$19</f>
        <v>2889.5634372300001</v>
      </c>
      <c r="D34" s="50">
        <f>$C$19</f>
        <v>2969.57</v>
      </c>
      <c r="E34" s="50">
        <f>$D$19</f>
        <v>3180.8967034950001</v>
      </c>
      <c r="F34" s="50">
        <f>$E$19</f>
        <v>3689.826</v>
      </c>
      <c r="V34" s="111">
        <v>3.1808967034950002</v>
      </c>
      <c r="W34" s="111">
        <v>0.93300000000000005</v>
      </c>
      <c r="X34" s="111">
        <v>2.6031</v>
      </c>
      <c r="Y34" s="111">
        <v>3.114880797329</v>
      </c>
      <c r="Z34" s="111">
        <v>13.88</v>
      </c>
    </row>
    <row r="35" spans="1:26" x14ac:dyDescent="0.25">
      <c r="A35" s="63"/>
      <c r="B35" s="1" t="s">
        <v>72</v>
      </c>
      <c r="C35" s="50">
        <f>$I$19</f>
        <v>958.31</v>
      </c>
      <c r="D35" s="50">
        <f>$J$19</f>
        <v>921</v>
      </c>
      <c r="E35" s="50">
        <f>$K$19</f>
        <v>933</v>
      </c>
      <c r="F35" s="50">
        <f>$L$19</f>
        <v>943</v>
      </c>
      <c r="V35" s="111">
        <v>3.6898260000000001</v>
      </c>
      <c r="W35" s="111">
        <v>0.94299999999999995</v>
      </c>
      <c r="X35" s="111">
        <v>2.6344699999999999</v>
      </c>
      <c r="Y35" s="111">
        <v>3.0353600527669999</v>
      </c>
      <c r="Z35" s="111">
        <v>14.051</v>
      </c>
    </row>
    <row r="36" spans="1:26" x14ac:dyDescent="0.25">
      <c r="A36" s="63"/>
      <c r="B36" s="1" t="s">
        <v>73</v>
      </c>
      <c r="C36" s="50">
        <f>$P$19</f>
        <v>2401.9883395390002</v>
      </c>
      <c r="D36" s="50">
        <f>$Q$19</f>
        <v>2444.77</v>
      </c>
      <c r="E36" s="50">
        <f>$R$19</f>
        <v>2603.1</v>
      </c>
      <c r="F36" s="50">
        <f>$S$19</f>
        <v>2634.47</v>
      </c>
    </row>
    <row r="37" spans="1:26" x14ac:dyDescent="0.25">
      <c r="A37" s="63"/>
      <c r="B37" s="1" t="s">
        <v>74</v>
      </c>
      <c r="C37" s="50">
        <f>$W$19</f>
        <v>2787.5324080330001</v>
      </c>
      <c r="D37" s="50">
        <f>$X$19</f>
        <v>2895.1621224989999</v>
      </c>
      <c r="E37" s="50">
        <f>$Y$19</f>
        <v>3114.880797329</v>
      </c>
      <c r="F37" s="50">
        <f>$Z$19</f>
        <v>3035.3600527670001</v>
      </c>
    </row>
    <row r="38" spans="1:26" x14ac:dyDescent="0.25">
      <c r="A38" s="63"/>
      <c r="B38" s="1" t="s">
        <v>75</v>
      </c>
      <c r="C38" s="50">
        <f>$AD$19</f>
        <v>12220</v>
      </c>
      <c r="D38" s="50">
        <f>$AE$19</f>
        <v>12747</v>
      </c>
      <c r="E38" s="50">
        <f>$AF$19</f>
        <v>13880</v>
      </c>
      <c r="F38" s="50">
        <f>$AG$19</f>
        <v>14051</v>
      </c>
    </row>
    <row r="40" spans="1:26" x14ac:dyDescent="0.25">
      <c r="A40" s="63"/>
      <c r="B40" s="64"/>
      <c r="C40" s="65">
        <v>45627</v>
      </c>
      <c r="D40" s="65">
        <v>45839</v>
      </c>
      <c r="E40" s="65">
        <v>45992</v>
      </c>
      <c r="F40" s="65">
        <v>46204</v>
      </c>
    </row>
    <row r="41" spans="1:26" x14ac:dyDescent="0.25">
      <c r="A41" s="62" t="s">
        <v>7</v>
      </c>
      <c r="B41" s="1" t="s">
        <v>71</v>
      </c>
      <c r="C41" s="50">
        <f>$B$20</f>
        <v>2165.43661969</v>
      </c>
      <c r="D41" s="50">
        <f>$C$20</f>
        <v>2206.154</v>
      </c>
      <c r="E41" s="50">
        <f>$D$20</f>
        <v>2331.8936355119999</v>
      </c>
      <c r="F41" s="50">
        <f>$E$20</f>
        <v>2730.2890000000002</v>
      </c>
      <c r="V41" s="111" cm="1">
        <f t="array" ref="V41:Z44">TRANSPOSE(C41:F45)/1000</f>
        <v>2.1654366196899999</v>
      </c>
      <c r="W41" s="111">
        <v>0.58111000000000002</v>
      </c>
      <c r="X41" s="111">
        <v>1.5373946262039999</v>
      </c>
      <c r="Y41" s="111">
        <v>2.076974584966</v>
      </c>
      <c r="Z41" s="111">
        <v>9.6910000000000007</v>
      </c>
    </row>
    <row r="42" spans="1:26" x14ac:dyDescent="0.25">
      <c r="A42" s="63"/>
      <c r="B42" s="1" t="s">
        <v>72</v>
      </c>
      <c r="C42" s="50">
        <f>$I$20</f>
        <v>581.11</v>
      </c>
      <c r="D42" s="50">
        <f>$J$20</f>
        <v>569</v>
      </c>
      <c r="E42" s="50">
        <f>$K$20</f>
        <v>583</v>
      </c>
      <c r="F42" s="50">
        <f>$L$20</f>
        <v>588</v>
      </c>
      <c r="V42" s="111">
        <v>2.2061540000000002</v>
      </c>
      <c r="W42" s="111">
        <v>0.56899999999999995</v>
      </c>
      <c r="X42" s="111">
        <v>1.59155</v>
      </c>
      <c r="Y42" s="111">
        <v>2.0034531357500001</v>
      </c>
      <c r="Z42" s="111">
        <v>10.327999999999999</v>
      </c>
    </row>
    <row r="43" spans="1:26" x14ac:dyDescent="0.25">
      <c r="A43" s="63"/>
      <c r="B43" s="1" t="s">
        <v>73</v>
      </c>
      <c r="C43" s="50">
        <f>$P$20</f>
        <v>1537.3946262039999</v>
      </c>
      <c r="D43" s="50">
        <f>$Q$20</f>
        <v>1591.55</v>
      </c>
      <c r="E43" s="50">
        <f>$R$20</f>
        <v>1687.85</v>
      </c>
      <c r="F43" s="50">
        <f>$S$20</f>
        <v>1761.84</v>
      </c>
      <c r="V43" s="111">
        <v>2.3318936355119999</v>
      </c>
      <c r="W43" s="111">
        <v>0.58299999999999996</v>
      </c>
      <c r="X43" s="111">
        <v>1.6878499999999999</v>
      </c>
      <c r="Y43" s="111">
        <v>2.2865986578369997</v>
      </c>
      <c r="Z43" s="111">
        <v>10.804</v>
      </c>
    </row>
    <row r="44" spans="1:26" x14ac:dyDescent="0.25">
      <c r="A44" s="63"/>
      <c r="B44" s="1" t="s">
        <v>74</v>
      </c>
      <c r="C44" s="50">
        <f>$W$20</f>
        <v>2076.9745849659998</v>
      </c>
      <c r="D44" s="50">
        <f>$X$20</f>
        <v>2003.45313575</v>
      </c>
      <c r="E44" s="50">
        <f>$Y$20</f>
        <v>2286.5986578369998</v>
      </c>
      <c r="F44" s="50">
        <f>$Z$20</f>
        <v>2217.2963604880001</v>
      </c>
      <c r="V44" s="111">
        <v>2.7302890000000004</v>
      </c>
      <c r="W44" s="111">
        <v>0.58799999999999997</v>
      </c>
      <c r="X44" s="111">
        <v>1.7618399999999999</v>
      </c>
      <c r="Y44" s="111">
        <v>2.2172963604880001</v>
      </c>
      <c r="Z44" s="111">
        <v>10.983000000000001</v>
      </c>
    </row>
    <row r="45" spans="1:26" x14ac:dyDescent="0.25">
      <c r="A45" s="63"/>
      <c r="B45" s="1" t="s">
        <v>75</v>
      </c>
      <c r="C45" s="50">
        <f>$AD$20</f>
        <v>9691</v>
      </c>
      <c r="D45" s="50">
        <f>$AE$20</f>
        <v>10328</v>
      </c>
      <c r="E45" s="50">
        <f>$AF$20</f>
        <v>10804</v>
      </c>
      <c r="F45" s="50">
        <f>$AG$20</f>
        <v>10983</v>
      </c>
    </row>
    <row r="47" spans="1:26" x14ac:dyDescent="0.25">
      <c r="A47" s="63"/>
      <c r="B47" s="64"/>
      <c r="C47" s="65">
        <v>45627</v>
      </c>
      <c r="D47" s="65">
        <v>45839</v>
      </c>
      <c r="E47" s="65">
        <v>45992</v>
      </c>
      <c r="F47" s="65">
        <v>46204</v>
      </c>
    </row>
    <row r="48" spans="1:26" x14ac:dyDescent="0.25">
      <c r="A48" s="62" t="s">
        <v>8</v>
      </c>
      <c r="B48" s="1" t="s">
        <v>71</v>
      </c>
      <c r="C48" s="50">
        <f>$B$21</f>
        <v>2170.270681942</v>
      </c>
      <c r="D48" s="50">
        <f>$C$21</f>
        <v>2216.4520000000002</v>
      </c>
      <c r="E48" s="50">
        <f>$D$21</f>
        <v>2326.613255879</v>
      </c>
      <c r="F48" s="50">
        <f>$E$21</f>
        <v>2747.73</v>
      </c>
      <c r="V48" s="111" cm="1">
        <f t="array" ref="V48:Z51">TRANSPOSE(C48:F52)/1000</f>
        <v>2.1702706819420001</v>
      </c>
      <c r="W48" s="111">
        <v>0.72014</v>
      </c>
      <c r="X48" s="111">
        <v>1.762113756867</v>
      </c>
      <c r="Y48" s="111">
        <v>2.092874260476</v>
      </c>
      <c r="Z48" s="111">
        <v>9.484</v>
      </c>
    </row>
    <row r="49" spans="1:26" x14ac:dyDescent="0.25">
      <c r="A49" s="63"/>
      <c r="B49" s="1" t="s">
        <v>72</v>
      </c>
      <c r="C49" s="50">
        <f>$I$21</f>
        <v>720.14</v>
      </c>
      <c r="D49" s="50">
        <f>$J$21</f>
        <v>714</v>
      </c>
      <c r="E49" s="50">
        <f>$K$21</f>
        <v>697</v>
      </c>
      <c r="F49" s="50">
        <f>$L$21</f>
        <v>714</v>
      </c>
      <c r="V49" s="111">
        <v>2.2164520000000003</v>
      </c>
      <c r="W49" s="111">
        <v>0.71399999999999997</v>
      </c>
      <c r="X49" s="111">
        <v>1.8323199999999999</v>
      </c>
      <c r="Y49" s="111">
        <v>2.2441836817909997</v>
      </c>
      <c r="Z49" s="111">
        <v>10.18</v>
      </c>
    </row>
    <row r="50" spans="1:26" x14ac:dyDescent="0.25">
      <c r="A50" s="63"/>
      <c r="B50" s="1" t="s">
        <v>73</v>
      </c>
      <c r="C50" s="50">
        <f>$P$21</f>
        <v>1762.1137568669999</v>
      </c>
      <c r="D50" s="50">
        <f>$Q$21</f>
        <v>1832.32</v>
      </c>
      <c r="E50" s="50">
        <f>$R$21</f>
        <v>1831.73</v>
      </c>
      <c r="F50" s="50">
        <f>$S$21</f>
        <v>1868.65</v>
      </c>
      <c r="V50" s="111">
        <v>2.3266132558789998</v>
      </c>
      <c r="W50" s="111">
        <v>0.69699999999999995</v>
      </c>
      <c r="X50" s="111">
        <v>1.8317300000000001</v>
      </c>
      <c r="Y50" s="111">
        <v>2.254182035715</v>
      </c>
      <c r="Z50" s="111">
        <v>10.78</v>
      </c>
    </row>
    <row r="51" spans="1:26" x14ac:dyDescent="0.25">
      <c r="A51" s="63"/>
      <c r="B51" s="1" t="s">
        <v>74</v>
      </c>
      <c r="C51" s="50">
        <f>$W$21</f>
        <v>2092.874260476</v>
      </c>
      <c r="D51" s="50">
        <f>$X$21</f>
        <v>2244.1836817909998</v>
      </c>
      <c r="E51" s="50">
        <f>$Y$21</f>
        <v>2254.182035715</v>
      </c>
      <c r="F51" s="50">
        <f>$Z$21</f>
        <v>2236.4259494560001</v>
      </c>
      <c r="V51" s="111">
        <v>2.7477300000000002</v>
      </c>
      <c r="W51" s="111">
        <v>0.71399999999999997</v>
      </c>
      <c r="X51" s="111">
        <v>1.8686500000000001</v>
      </c>
      <c r="Y51" s="111">
        <v>2.2364259494560002</v>
      </c>
      <c r="Z51" s="111">
        <v>11.077999999999999</v>
      </c>
    </row>
    <row r="52" spans="1:26" x14ac:dyDescent="0.25">
      <c r="A52" s="63"/>
      <c r="B52" s="1" t="s">
        <v>75</v>
      </c>
      <c r="C52" s="50">
        <f>$AD$21</f>
        <v>9484</v>
      </c>
      <c r="D52" s="50">
        <f>$AE$21</f>
        <v>10180</v>
      </c>
      <c r="E52" s="50">
        <f>$AF$21</f>
        <v>10780</v>
      </c>
      <c r="F52" s="50">
        <f>$AG$21</f>
        <v>11078</v>
      </c>
    </row>
  </sheetData>
  <mergeCells count="42">
    <mergeCell ref="AJ27:AM27"/>
    <mergeCell ref="A14:H15"/>
    <mergeCell ref="AA17:AA18"/>
    <mergeCell ref="AC17:AC18"/>
    <mergeCell ref="A17:A18"/>
    <mergeCell ref="F17:F18"/>
    <mergeCell ref="H17:H18"/>
    <mergeCell ref="A16:F16"/>
    <mergeCell ref="H16:M16"/>
    <mergeCell ref="O16:T16"/>
    <mergeCell ref="V16:AA16"/>
    <mergeCell ref="AC16:AH16"/>
    <mergeCell ref="AH17:AH18"/>
    <mergeCell ref="M17:M18"/>
    <mergeCell ref="O17:O18"/>
    <mergeCell ref="T17:T18"/>
    <mergeCell ref="B17:E17"/>
    <mergeCell ref="I17:L17"/>
    <mergeCell ref="P17:S17"/>
    <mergeCell ref="O1:T1"/>
    <mergeCell ref="O2:O3"/>
    <mergeCell ref="Q2:S2"/>
    <mergeCell ref="T2:T3"/>
    <mergeCell ref="C2:E2"/>
    <mergeCell ref="F2:F3"/>
    <mergeCell ref="A2:A3"/>
    <mergeCell ref="A1:F1"/>
    <mergeCell ref="H1:M1"/>
    <mergeCell ref="H2:H3"/>
    <mergeCell ref="J2:L2"/>
    <mergeCell ref="M2:M3"/>
    <mergeCell ref="V1:AA1"/>
    <mergeCell ref="V2:V3"/>
    <mergeCell ref="X2:Z2"/>
    <mergeCell ref="AA2:AA3"/>
    <mergeCell ref="W17:Z17"/>
    <mergeCell ref="V17:V18"/>
    <mergeCell ref="AD17:AG17"/>
    <mergeCell ref="AC1:AH1"/>
    <mergeCell ref="AC2:AC3"/>
    <mergeCell ref="AE2:AG2"/>
    <mergeCell ref="AH2:AH3"/>
  </mergeCells>
  <conditionalFormatting sqref="F4:F6">
    <cfRule type="dataBar" priority="7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{27594D7F-0203-4CA3-ADE3-A69F64200AA8}</x14:id>
        </ext>
      </extLst>
    </cfRule>
  </conditionalFormatting>
  <conditionalFormatting sqref="F7">
    <cfRule type="dataBar" priority="73">
      <dataBar>
        <cfvo type="min"/>
        <cfvo type="max"/>
        <color rgb="FFFF6600"/>
      </dataBar>
      <extLst>
        <ext xmlns:x14="http://schemas.microsoft.com/office/spreadsheetml/2009/9/main" uri="{B025F937-C7B1-47D3-B67F-A62EFF666E3E}">
          <x14:id>{C97B0875-5BD5-4881-9F4B-52799D861F23}</x14:id>
        </ext>
      </extLst>
    </cfRule>
  </conditionalFormatting>
  <conditionalFormatting sqref="F9">
    <cfRule type="dataBar" priority="72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{35A5C154-D853-42F7-8411-1AF7F9752F15}</x14:id>
        </ext>
      </extLst>
    </cfRule>
  </conditionalFormatting>
  <conditionalFormatting sqref="M4:M6">
    <cfRule type="dataBar" priority="71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{29D94D6D-CB9A-473F-9207-EF092C9EAE1D}</x14:id>
        </ext>
      </extLst>
    </cfRule>
  </conditionalFormatting>
  <conditionalFormatting sqref="M7">
    <cfRule type="dataBar" priority="70">
      <dataBar>
        <cfvo type="min"/>
        <cfvo type="max"/>
        <color rgb="FFFF6600"/>
      </dataBar>
      <extLst>
        <ext xmlns:x14="http://schemas.microsoft.com/office/spreadsheetml/2009/9/main" uri="{B025F937-C7B1-47D3-B67F-A62EFF666E3E}">
          <x14:id>{F58447AD-1B00-4C9E-BC06-AAB19B2E7DFE}</x14:id>
        </ext>
      </extLst>
    </cfRule>
  </conditionalFormatting>
  <conditionalFormatting sqref="M9">
    <cfRule type="dataBar" priority="6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{4CBC5ADE-7C52-4037-AFBB-6464B98E6C5A}</x14:id>
        </ext>
      </extLst>
    </cfRule>
  </conditionalFormatting>
  <conditionalFormatting sqref="T4:T6">
    <cfRule type="dataBar" priority="6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{0F2C9BEC-795B-4FAA-8365-3B7D452D6B35}</x14:id>
        </ext>
      </extLst>
    </cfRule>
  </conditionalFormatting>
  <conditionalFormatting sqref="T7">
    <cfRule type="dataBar" priority="67">
      <dataBar>
        <cfvo type="min"/>
        <cfvo type="max"/>
        <color rgb="FFFF6600"/>
      </dataBar>
      <extLst>
        <ext xmlns:x14="http://schemas.microsoft.com/office/spreadsheetml/2009/9/main" uri="{B025F937-C7B1-47D3-B67F-A62EFF666E3E}">
          <x14:id>{48508F16-A52F-4772-B65C-90B0EC5290A9}</x14:id>
        </ext>
      </extLst>
    </cfRule>
  </conditionalFormatting>
  <conditionalFormatting sqref="T9">
    <cfRule type="dataBar" priority="6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{EC1F0008-1B8C-4CEA-8875-966A74591F61}</x14:id>
        </ext>
      </extLst>
    </cfRule>
  </conditionalFormatting>
  <conditionalFormatting sqref="AA4:AA6">
    <cfRule type="dataBar" priority="6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{027978C6-DB4D-4B7C-A056-40D09C264509}</x14:id>
        </ext>
      </extLst>
    </cfRule>
  </conditionalFormatting>
  <conditionalFormatting sqref="AA7">
    <cfRule type="dataBar" priority="64">
      <dataBar>
        <cfvo type="min"/>
        <cfvo type="max"/>
        <color rgb="FFFF6600"/>
      </dataBar>
      <extLst>
        <ext xmlns:x14="http://schemas.microsoft.com/office/spreadsheetml/2009/9/main" uri="{B025F937-C7B1-47D3-B67F-A62EFF666E3E}">
          <x14:id>{16BF186E-4C24-4644-8ABC-059D776C4256}</x14:id>
        </ext>
      </extLst>
    </cfRule>
  </conditionalFormatting>
  <conditionalFormatting sqref="AA9">
    <cfRule type="dataBar" priority="63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{FF71E3D1-1067-435E-833A-D0653799672D}</x14:id>
        </ext>
      </extLst>
    </cfRule>
  </conditionalFormatting>
  <conditionalFormatting sqref="AH4:AH6">
    <cfRule type="dataBar" priority="62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{C833203A-5C74-469C-B2FB-4AC68BC58875}</x14:id>
        </ext>
      </extLst>
    </cfRule>
  </conditionalFormatting>
  <conditionalFormatting sqref="AH7">
    <cfRule type="dataBar" priority="61">
      <dataBar>
        <cfvo type="min"/>
        <cfvo type="max"/>
        <color rgb="FFFF6600"/>
      </dataBar>
      <extLst>
        <ext xmlns:x14="http://schemas.microsoft.com/office/spreadsheetml/2009/9/main" uri="{B025F937-C7B1-47D3-B67F-A62EFF666E3E}">
          <x14:id>{3D99E27A-1891-4648-8D18-4ADD7A046455}</x14:id>
        </ext>
      </extLst>
    </cfRule>
  </conditionalFormatting>
  <conditionalFormatting sqref="AH9">
    <cfRule type="dataBar" priority="6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{8E0F374E-4545-49B8-9489-126CE7BCDFDD}</x14:id>
        </ext>
      </extLst>
    </cfRule>
  </conditionalFormatting>
  <conditionalFormatting sqref="F19:F21">
    <cfRule type="dataBar" priority="4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{4E4B0CC1-48DD-4D6C-823C-162370845341}</x14:id>
        </ext>
      </extLst>
    </cfRule>
  </conditionalFormatting>
  <conditionalFormatting sqref="F22:F23">
    <cfRule type="dataBar" priority="43">
      <dataBar>
        <cfvo type="min"/>
        <cfvo type="max"/>
        <color rgb="FFFF6600"/>
      </dataBar>
      <extLst>
        <ext xmlns:x14="http://schemas.microsoft.com/office/spreadsheetml/2009/9/main" uri="{B025F937-C7B1-47D3-B67F-A62EFF666E3E}">
          <x14:id>{F30C138F-47A6-45B9-B9B5-5E5CC0CE4937}</x14:id>
        </ext>
      </extLst>
    </cfRule>
  </conditionalFormatting>
  <conditionalFormatting sqref="F26">
    <cfRule type="dataBar" priority="42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{6EE6B23E-FAD9-439A-88A9-A23DBC4DD4B4}</x14:id>
        </ext>
      </extLst>
    </cfRule>
  </conditionalFormatting>
  <conditionalFormatting sqref="M19:M21">
    <cfRule type="dataBar" priority="41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{BFD776BD-5E29-4127-A851-BF19C8253865}</x14:id>
        </ext>
      </extLst>
    </cfRule>
  </conditionalFormatting>
  <conditionalFormatting sqref="M22">
    <cfRule type="dataBar" priority="40">
      <dataBar>
        <cfvo type="min"/>
        <cfvo type="max"/>
        <color rgb="FFFF6600"/>
      </dataBar>
      <extLst>
        <ext xmlns:x14="http://schemas.microsoft.com/office/spreadsheetml/2009/9/main" uri="{B025F937-C7B1-47D3-B67F-A62EFF666E3E}">
          <x14:id>{5BEAEF77-B753-498B-80C6-39CE730180E2}</x14:id>
        </ext>
      </extLst>
    </cfRule>
  </conditionalFormatting>
  <conditionalFormatting sqref="M26">
    <cfRule type="dataBar" priority="3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{65C4C9BA-AEDD-4B0D-AD15-02A6EDB46EE4}</x14:id>
        </ext>
      </extLst>
    </cfRule>
  </conditionalFormatting>
  <conditionalFormatting sqref="T19:T21">
    <cfRule type="dataBar" priority="3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{C252CD96-1EF0-44FD-927A-6AA49968B117}</x14:id>
        </ext>
      </extLst>
    </cfRule>
  </conditionalFormatting>
  <conditionalFormatting sqref="T22">
    <cfRule type="dataBar" priority="37">
      <dataBar>
        <cfvo type="min"/>
        <cfvo type="max"/>
        <color rgb="FFFF6600"/>
      </dataBar>
      <extLst>
        <ext xmlns:x14="http://schemas.microsoft.com/office/spreadsheetml/2009/9/main" uri="{B025F937-C7B1-47D3-B67F-A62EFF666E3E}">
          <x14:id>{523D9151-8546-4BCF-A6C9-F76FFE2160B7}</x14:id>
        </ext>
      </extLst>
    </cfRule>
  </conditionalFormatting>
  <conditionalFormatting sqref="T26">
    <cfRule type="dataBar" priority="3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{C79A3488-68B8-437E-996B-BC469065D5D0}</x14:id>
        </ext>
      </extLst>
    </cfRule>
  </conditionalFormatting>
  <conditionalFormatting sqref="AA19:AA21">
    <cfRule type="dataBar" priority="3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{DA50747F-3F67-4A2D-8414-DAC989006724}</x14:id>
        </ext>
      </extLst>
    </cfRule>
  </conditionalFormatting>
  <conditionalFormatting sqref="AA22">
    <cfRule type="dataBar" priority="34">
      <dataBar>
        <cfvo type="min"/>
        <cfvo type="max"/>
        <color rgb="FFFF6600"/>
      </dataBar>
      <extLst>
        <ext xmlns:x14="http://schemas.microsoft.com/office/spreadsheetml/2009/9/main" uri="{B025F937-C7B1-47D3-B67F-A62EFF666E3E}">
          <x14:id>{F83DB87E-6B55-4F18-9714-A0FE59C1D1FC}</x14:id>
        </ext>
      </extLst>
    </cfRule>
  </conditionalFormatting>
  <conditionalFormatting sqref="AA26">
    <cfRule type="dataBar" priority="33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{99356D59-E2CD-402A-A413-C3FE66329D75}</x14:id>
        </ext>
      </extLst>
    </cfRule>
  </conditionalFormatting>
  <conditionalFormatting sqref="AH19:AH21">
    <cfRule type="dataBar" priority="32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{4C5D4108-27C8-4852-949F-67ED213B267D}</x14:id>
        </ext>
      </extLst>
    </cfRule>
  </conditionalFormatting>
  <conditionalFormatting sqref="AH22">
    <cfRule type="dataBar" priority="31">
      <dataBar>
        <cfvo type="min"/>
        <cfvo type="max"/>
        <color rgb="FFFF6600"/>
      </dataBar>
      <extLst>
        <ext xmlns:x14="http://schemas.microsoft.com/office/spreadsheetml/2009/9/main" uri="{B025F937-C7B1-47D3-B67F-A62EFF666E3E}">
          <x14:id>{36FDA2CB-ECE8-4569-B64A-3BB9A1D4B3F8}</x14:id>
        </ext>
      </extLst>
    </cfRule>
  </conditionalFormatting>
  <conditionalFormatting sqref="AH26">
    <cfRule type="dataBar" priority="3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{F7926584-67AF-4CAF-A4FE-B7B1D5E4DFDF}</x14:id>
        </ext>
      </extLst>
    </cfRule>
  </conditionalFormatting>
  <conditionalFormatting sqref="F28">
    <cfRule type="dataBar" priority="2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{9CAD0505-104B-4C75-B707-74F5CB0862F5}</x14:id>
        </ext>
      </extLst>
    </cfRule>
  </conditionalFormatting>
  <conditionalFormatting sqref="F29">
    <cfRule type="dataBar" priority="28">
      <dataBar>
        <cfvo type="min"/>
        <cfvo type="max"/>
        <color rgb="FFFF6600"/>
      </dataBar>
      <extLst>
        <ext xmlns:x14="http://schemas.microsoft.com/office/spreadsheetml/2009/9/main" uri="{B025F937-C7B1-47D3-B67F-A62EFF666E3E}">
          <x14:id>{8D8F3025-13DC-461F-B5CD-1C54803BE3E3}</x14:id>
        </ext>
      </extLst>
    </cfRule>
  </conditionalFormatting>
  <conditionalFormatting sqref="M28">
    <cfRule type="dataBar" priority="2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{BB5554A9-D308-43C7-BC1A-B43E405A1269}</x14:id>
        </ext>
      </extLst>
    </cfRule>
  </conditionalFormatting>
  <conditionalFormatting sqref="M29">
    <cfRule type="dataBar" priority="26">
      <dataBar>
        <cfvo type="min"/>
        <cfvo type="max"/>
        <color rgb="FFFF6600"/>
      </dataBar>
      <extLst>
        <ext xmlns:x14="http://schemas.microsoft.com/office/spreadsheetml/2009/9/main" uri="{B025F937-C7B1-47D3-B67F-A62EFF666E3E}">
          <x14:id>{DF635684-C844-4C0B-BD7D-B67CE0187CB6}</x14:id>
        </ext>
      </extLst>
    </cfRule>
  </conditionalFormatting>
  <conditionalFormatting sqref="T28">
    <cfRule type="dataBar" priority="2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{D7C17FED-85BD-4999-A04C-4058E1F76C68}</x14:id>
        </ext>
      </extLst>
    </cfRule>
  </conditionalFormatting>
  <conditionalFormatting sqref="T29">
    <cfRule type="dataBar" priority="24">
      <dataBar>
        <cfvo type="min"/>
        <cfvo type="max"/>
        <color rgb="FFFF6600"/>
      </dataBar>
      <extLst>
        <ext xmlns:x14="http://schemas.microsoft.com/office/spreadsheetml/2009/9/main" uri="{B025F937-C7B1-47D3-B67F-A62EFF666E3E}">
          <x14:id>{C53A262F-3E4B-42B3-9038-270C4EEB725F}</x14:id>
        </ext>
      </extLst>
    </cfRule>
  </conditionalFormatting>
  <conditionalFormatting sqref="AA28">
    <cfRule type="dataBar" priority="23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{DB4B91BD-1BA5-42D2-9BBC-2E254272D093}</x14:id>
        </ext>
      </extLst>
    </cfRule>
  </conditionalFormatting>
  <conditionalFormatting sqref="AA29">
    <cfRule type="dataBar" priority="22">
      <dataBar>
        <cfvo type="min"/>
        <cfvo type="max"/>
        <color rgb="FFFF6600"/>
      </dataBar>
      <extLst>
        <ext xmlns:x14="http://schemas.microsoft.com/office/spreadsheetml/2009/9/main" uri="{B025F937-C7B1-47D3-B67F-A62EFF666E3E}">
          <x14:id>{724C08D5-D3F0-4BF0-AEA5-CAD8F191280C}</x14:id>
        </ext>
      </extLst>
    </cfRule>
  </conditionalFormatting>
  <conditionalFormatting sqref="AH28">
    <cfRule type="dataBar" priority="21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{0F3317C0-42E9-415F-AB02-68AC8A7DB605}</x14:id>
        </ext>
      </extLst>
    </cfRule>
  </conditionalFormatting>
  <conditionalFormatting sqref="AH29">
    <cfRule type="dataBar" priority="20">
      <dataBar>
        <cfvo type="min"/>
        <cfvo type="max"/>
        <color rgb="FFFF6600"/>
      </dataBar>
      <extLst>
        <ext xmlns:x14="http://schemas.microsoft.com/office/spreadsheetml/2009/9/main" uri="{B025F937-C7B1-47D3-B67F-A62EFF666E3E}">
          <x14:id>{A014434C-304C-4482-B5DD-D4D24A337F10}</x14:id>
        </ext>
      </extLst>
    </cfRule>
  </conditionalFormatting>
  <conditionalFormatting sqref="F25">
    <cfRule type="dataBar" priority="11">
      <dataBar>
        <cfvo type="min"/>
        <cfvo type="max"/>
        <color rgb="FFFF6600"/>
      </dataBar>
      <extLst>
        <ext xmlns:x14="http://schemas.microsoft.com/office/spreadsheetml/2009/9/main" uri="{B025F937-C7B1-47D3-B67F-A62EFF666E3E}">
          <x14:id>{3F4281DA-CAD6-4EDC-A49B-52364A518D30}</x14:id>
        </ext>
      </extLst>
    </cfRule>
  </conditionalFormatting>
  <conditionalFormatting sqref="M25">
    <cfRule type="dataBar" priority="10">
      <dataBar>
        <cfvo type="min"/>
        <cfvo type="max"/>
        <color rgb="FFFF6600"/>
      </dataBar>
      <extLst>
        <ext xmlns:x14="http://schemas.microsoft.com/office/spreadsheetml/2009/9/main" uri="{B025F937-C7B1-47D3-B67F-A62EFF666E3E}">
          <x14:id>{13BF3304-A072-4A9E-AF86-2AC1DA3236FF}</x14:id>
        </ext>
      </extLst>
    </cfRule>
  </conditionalFormatting>
  <conditionalFormatting sqref="T25">
    <cfRule type="dataBar" priority="9">
      <dataBar>
        <cfvo type="min"/>
        <cfvo type="max"/>
        <color rgb="FFFF6600"/>
      </dataBar>
      <extLst>
        <ext xmlns:x14="http://schemas.microsoft.com/office/spreadsheetml/2009/9/main" uri="{B025F937-C7B1-47D3-B67F-A62EFF666E3E}">
          <x14:id>{4B578E2B-74D4-4462-9A3B-BB8ED8B8BE1D}</x14:id>
        </ext>
      </extLst>
    </cfRule>
  </conditionalFormatting>
  <conditionalFormatting sqref="AA25">
    <cfRule type="dataBar" priority="8">
      <dataBar>
        <cfvo type="min"/>
        <cfvo type="max"/>
        <color rgb="FFFF6600"/>
      </dataBar>
      <extLst>
        <ext xmlns:x14="http://schemas.microsoft.com/office/spreadsheetml/2009/9/main" uri="{B025F937-C7B1-47D3-B67F-A62EFF666E3E}">
          <x14:id>{162872CF-D00E-4DEB-AD78-92E3519DB7C4}</x14:id>
        </ext>
      </extLst>
    </cfRule>
  </conditionalFormatting>
  <conditionalFormatting sqref="AH25">
    <cfRule type="dataBar" priority="7">
      <dataBar>
        <cfvo type="min"/>
        <cfvo type="max"/>
        <color rgb="FFFF6600"/>
      </dataBar>
      <extLst>
        <ext xmlns:x14="http://schemas.microsoft.com/office/spreadsheetml/2009/9/main" uri="{B025F937-C7B1-47D3-B67F-A62EFF666E3E}">
          <x14:id>{236D7315-91EC-4435-98B9-80EDC9E49475}</x14:id>
        </ext>
      </extLst>
    </cfRule>
  </conditionalFormatting>
  <conditionalFormatting sqref="AM30">
    <cfRule type="dataBar" priority="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{5B2581F0-B7D2-42A4-B95C-364E66ADA169}</x14:id>
        </ext>
      </extLst>
    </cfRule>
  </conditionalFormatting>
  <conditionalFormatting sqref="AM30">
    <cfRule type="iconSet" priority="5">
      <iconSet iconSet="3Arrows">
        <cfvo type="percent" val="0"/>
        <cfvo type="num" val="0" gte="0"/>
        <cfvo type="num" val="0" gte="0"/>
      </iconSet>
    </cfRule>
  </conditionalFormatting>
  <conditionalFormatting sqref="M23">
    <cfRule type="dataBar" priority="4">
      <dataBar>
        <cfvo type="min"/>
        <cfvo type="max"/>
        <color rgb="FFFF6600"/>
      </dataBar>
      <extLst>
        <ext xmlns:x14="http://schemas.microsoft.com/office/spreadsheetml/2009/9/main" uri="{B025F937-C7B1-47D3-B67F-A62EFF666E3E}">
          <x14:id>{BCAAA84F-1838-4CF9-8A46-7D6ADEF0E5F0}</x14:id>
        </ext>
      </extLst>
    </cfRule>
  </conditionalFormatting>
  <conditionalFormatting sqref="T23">
    <cfRule type="dataBar" priority="3">
      <dataBar>
        <cfvo type="min"/>
        <cfvo type="max"/>
        <color rgb="FFFF6600"/>
      </dataBar>
      <extLst>
        <ext xmlns:x14="http://schemas.microsoft.com/office/spreadsheetml/2009/9/main" uri="{B025F937-C7B1-47D3-B67F-A62EFF666E3E}">
          <x14:id>{B3093A6B-9E46-4BA4-860D-A1FAB485735A}</x14:id>
        </ext>
      </extLst>
    </cfRule>
  </conditionalFormatting>
  <conditionalFormatting sqref="AA23">
    <cfRule type="dataBar" priority="2">
      <dataBar>
        <cfvo type="min"/>
        <cfvo type="max"/>
        <color rgb="FFFF6600"/>
      </dataBar>
      <extLst>
        <ext xmlns:x14="http://schemas.microsoft.com/office/spreadsheetml/2009/9/main" uri="{B025F937-C7B1-47D3-B67F-A62EFF666E3E}">
          <x14:id>{036271F2-1DC1-476C-931F-BE58383728A8}</x14:id>
        </ext>
      </extLst>
    </cfRule>
  </conditionalFormatting>
  <conditionalFormatting sqref="AH23">
    <cfRule type="dataBar" priority="1">
      <dataBar>
        <cfvo type="min"/>
        <cfvo type="max"/>
        <color rgb="FFFF6600"/>
      </dataBar>
      <extLst>
        <ext xmlns:x14="http://schemas.microsoft.com/office/spreadsheetml/2009/9/main" uri="{B025F937-C7B1-47D3-B67F-A62EFF666E3E}">
          <x14:id>{C247541C-B955-434F-A50D-15B1086686EA}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7594D7F-0203-4CA3-ADE3-A69F64200AA8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F4:F6</xm:sqref>
        </x14:conditionalFormatting>
        <x14:conditionalFormatting xmlns:xm="http://schemas.microsoft.com/office/excel/2006/main">
          <x14:cfRule type="dataBar" id="{C97B0875-5BD5-4881-9F4B-52799D861F23}">
            <x14:dataBar minLength="0" maxLength="100" gradient="0">
              <x14:cfvo type="autoMin"/>
              <x14:cfvo type="autoMax"/>
              <x14:negativeFillColor theme="9" tint="0.39997558519241921"/>
              <x14:axisColor rgb="FF000000"/>
            </x14:dataBar>
          </x14:cfRule>
          <xm:sqref>F7</xm:sqref>
        </x14:conditionalFormatting>
        <x14:conditionalFormatting xmlns:xm="http://schemas.microsoft.com/office/excel/2006/main">
          <x14:cfRule type="dataBar" id="{35A5C154-D853-42F7-8411-1AF7F9752F15}">
            <x14:dataBar minLength="0" maxLength="100" gradient="0">
              <x14:cfvo type="autoMin"/>
              <x14:cfvo type="autoMax"/>
              <x14:negativeFillColor theme="5" tint="0.59999389629810485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29D94D6D-CB9A-473F-9207-EF092C9EAE1D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M4:M6</xm:sqref>
        </x14:conditionalFormatting>
        <x14:conditionalFormatting xmlns:xm="http://schemas.microsoft.com/office/excel/2006/main">
          <x14:cfRule type="dataBar" id="{F58447AD-1B00-4C9E-BC06-AAB19B2E7DFE}">
            <x14:dataBar minLength="0" maxLength="100" gradient="0">
              <x14:cfvo type="autoMin"/>
              <x14:cfvo type="autoMax"/>
              <x14:negativeFillColor theme="9" tint="0.39997558519241921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4CBC5ADE-7C52-4037-AFBB-6464B98E6C5A}">
            <x14:dataBar minLength="0" maxLength="100" gradient="0">
              <x14:cfvo type="autoMin"/>
              <x14:cfvo type="autoMax"/>
              <x14:negativeFillColor theme="5" tint="0.59999389629810485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0F2C9BEC-795B-4FAA-8365-3B7D452D6B35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T4:T6</xm:sqref>
        </x14:conditionalFormatting>
        <x14:conditionalFormatting xmlns:xm="http://schemas.microsoft.com/office/excel/2006/main">
          <x14:cfRule type="dataBar" id="{48508F16-A52F-4772-B65C-90B0EC5290A9}">
            <x14:dataBar minLength="0" maxLength="100" gradient="0">
              <x14:cfvo type="autoMin"/>
              <x14:cfvo type="autoMax"/>
              <x14:negativeFillColor theme="9" tint="0.39997558519241921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EC1F0008-1B8C-4CEA-8875-966A74591F61}">
            <x14:dataBar minLength="0" maxLength="100" gradient="0">
              <x14:cfvo type="autoMin"/>
              <x14:cfvo type="autoMax"/>
              <x14:negativeFillColor theme="5" tint="0.59999389629810485"/>
              <x14:axisColor rgb="FF000000"/>
            </x14:dataBar>
          </x14:cfRule>
          <xm:sqref>T9</xm:sqref>
        </x14:conditionalFormatting>
        <x14:conditionalFormatting xmlns:xm="http://schemas.microsoft.com/office/excel/2006/main">
          <x14:cfRule type="dataBar" id="{027978C6-DB4D-4B7C-A056-40D09C264509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AA4:AA6</xm:sqref>
        </x14:conditionalFormatting>
        <x14:conditionalFormatting xmlns:xm="http://schemas.microsoft.com/office/excel/2006/main">
          <x14:cfRule type="dataBar" id="{16BF186E-4C24-4644-8ABC-059D776C4256}">
            <x14:dataBar minLength="0" maxLength="100" gradient="0">
              <x14:cfvo type="autoMin"/>
              <x14:cfvo type="autoMax"/>
              <x14:negativeFillColor theme="9" tint="0.39997558519241921"/>
              <x14:axisColor rgb="FF000000"/>
            </x14:dataBar>
          </x14:cfRule>
          <xm:sqref>AA7</xm:sqref>
        </x14:conditionalFormatting>
        <x14:conditionalFormatting xmlns:xm="http://schemas.microsoft.com/office/excel/2006/main">
          <x14:cfRule type="dataBar" id="{FF71E3D1-1067-435E-833A-D0653799672D}">
            <x14:dataBar minLength="0" maxLength="100" gradient="0">
              <x14:cfvo type="autoMin"/>
              <x14:cfvo type="autoMax"/>
              <x14:negativeFillColor theme="5" tint="0.59999389629810485"/>
              <x14:axisColor rgb="FF000000"/>
            </x14:dataBar>
          </x14:cfRule>
          <xm:sqref>AA9</xm:sqref>
        </x14:conditionalFormatting>
        <x14:conditionalFormatting xmlns:xm="http://schemas.microsoft.com/office/excel/2006/main">
          <x14:cfRule type="dataBar" id="{C833203A-5C74-469C-B2FB-4AC68BC58875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AH4:AH6</xm:sqref>
        </x14:conditionalFormatting>
        <x14:conditionalFormatting xmlns:xm="http://schemas.microsoft.com/office/excel/2006/main">
          <x14:cfRule type="dataBar" id="{3D99E27A-1891-4648-8D18-4ADD7A046455}">
            <x14:dataBar minLength="0" maxLength="100" gradient="0">
              <x14:cfvo type="autoMin"/>
              <x14:cfvo type="autoMax"/>
              <x14:negativeFillColor theme="9" tint="0.39997558519241921"/>
              <x14:axisColor rgb="FF000000"/>
            </x14:dataBar>
          </x14:cfRule>
          <xm:sqref>AH7</xm:sqref>
        </x14:conditionalFormatting>
        <x14:conditionalFormatting xmlns:xm="http://schemas.microsoft.com/office/excel/2006/main">
          <x14:cfRule type="dataBar" id="{8E0F374E-4545-49B8-9489-126CE7BCDFDD}">
            <x14:dataBar minLength="0" maxLength="100" gradient="0">
              <x14:cfvo type="autoMin"/>
              <x14:cfvo type="autoMax"/>
              <x14:negativeFillColor theme="5" tint="0.59999389629810485"/>
              <x14:axisColor rgb="FF000000"/>
            </x14:dataBar>
          </x14:cfRule>
          <xm:sqref>AH9</xm:sqref>
        </x14:conditionalFormatting>
        <x14:conditionalFormatting xmlns:xm="http://schemas.microsoft.com/office/excel/2006/main">
          <x14:cfRule type="dataBar" id="{4E4B0CC1-48DD-4D6C-823C-162370845341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F19:F21</xm:sqref>
        </x14:conditionalFormatting>
        <x14:conditionalFormatting xmlns:xm="http://schemas.microsoft.com/office/excel/2006/main">
          <x14:cfRule type="dataBar" id="{F30C138F-47A6-45B9-B9B5-5E5CC0CE4937}">
            <x14:dataBar minLength="0" maxLength="100" gradient="0">
              <x14:cfvo type="autoMin"/>
              <x14:cfvo type="autoMax"/>
              <x14:negativeFillColor theme="9" tint="0.39997558519241921"/>
              <x14:axisColor rgb="FF000000"/>
            </x14:dataBar>
          </x14:cfRule>
          <xm:sqref>F22:F23</xm:sqref>
        </x14:conditionalFormatting>
        <x14:conditionalFormatting xmlns:xm="http://schemas.microsoft.com/office/excel/2006/main">
          <x14:cfRule type="dataBar" id="{6EE6B23E-FAD9-439A-88A9-A23DBC4DD4B4}">
            <x14:dataBar minLength="0" maxLength="100" gradient="0">
              <x14:cfvo type="autoMin"/>
              <x14:cfvo type="autoMax"/>
              <x14:negativeFillColor theme="5" tint="0.59999389629810485"/>
              <x14:axisColor rgb="FF000000"/>
            </x14:dataBar>
          </x14:cfRule>
          <xm:sqref>F26</xm:sqref>
        </x14:conditionalFormatting>
        <x14:conditionalFormatting xmlns:xm="http://schemas.microsoft.com/office/excel/2006/main">
          <x14:cfRule type="dataBar" id="{BFD776BD-5E29-4127-A851-BF19C8253865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M19:M21</xm:sqref>
        </x14:conditionalFormatting>
        <x14:conditionalFormatting xmlns:xm="http://schemas.microsoft.com/office/excel/2006/main">
          <x14:cfRule type="dataBar" id="{5BEAEF77-B753-498B-80C6-39CE730180E2}">
            <x14:dataBar minLength="0" maxLength="100" gradient="0">
              <x14:cfvo type="autoMin"/>
              <x14:cfvo type="autoMax"/>
              <x14:negativeFillColor theme="9" tint="0.39997558519241921"/>
              <x14:axisColor rgb="FF000000"/>
            </x14:dataBar>
          </x14:cfRule>
          <xm:sqref>M22</xm:sqref>
        </x14:conditionalFormatting>
        <x14:conditionalFormatting xmlns:xm="http://schemas.microsoft.com/office/excel/2006/main">
          <x14:cfRule type="dataBar" id="{65C4C9BA-AEDD-4B0D-AD15-02A6EDB46EE4}">
            <x14:dataBar minLength="0" maxLength="100" gradient="0">
              <x14:cfvo type="autoMin"/>
              <x14:cfvo type="autoMax"/>
              <x14:negativeFillColor theme="5" tint="0.59999389629810485"/>
              <x14:axisColor rgb="FF000000"/>
            </x14:dataBar>
          </x14:cfRule>
          <xm:sqref>M26</xm:sqref>
        </x14:conditionalFormatting>
        <x14:conditionalFormatting xmlns:xm="http://schemas.microsoft.com/office/excel/2006/main">
          <x14:cfRule type="dataBar" id="{C252CD96-1EF0-44FD-927A-6AA49968B117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T19:T21</xm:sqref>
        </x14:conditionalFormatting>
        <x14:conditionalFormatting xmlns:xm="http://schemas.microsoft.com/office/excel/2006/main">
          <x14:cfRule type="dataBar" id="{523D9151-8546-4BCF-A6C9-F76FFE2160B7}">
            <x14:dataBar minLength="0" maxLength="100" gradient="0">
              <x14:cfvo type="autoMin"/>
              <x14:cfvo type="autoMax"/>
              <x14:negativeFillColor theme="9" tint="0.39997558519241921"/>
              <x14:axisColor rgb="FF000000"/>
            </x14:dataBar>
          </x14:cfRule>
          <xm:sqref>T22</xm:sqref>
        </x14:conditionalFormatting>
        <x14:conditionalFormatting xmlns:xm="http://schemas.microsoft.com/office/excel/2006/main">
          <x14:cfRule type="dataBar" id="{C79A3488-68B8-437E-996B-BC469065D5D0}">
            <x14:dataBar minLength="0" maxLength="100" gradient="0">
              <x14:cfvo type="autoMin"/>
              <x14:cfvo type="autoMax"/>
              <x14:negativeFillColor theme="5" tint="0.59999389629810485"/>
              <x14:axisColor rgb="FF000000"/>
            </x14:dataBar>
          </x14:cfRule>
          <xm:sqref>T26</xm:sqref>
        </x14:conditionalFormatting>
        <x14:conditionalFormatting xmlns:xm="http://schemas.microsoft.com/office/excel/2006/main">
          <x14:cfRule type="dataBar" id="{DA50747F-3F67-4A2D-8414-DAC989006724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AA19:AA21</xm:sqref>
        </x14:conditionalFormatting>
        <x14:conditionalFormatting xmlns:xm="http://schemas.microsoft.com/office/excel/2006/main">
          <x14:cfRule type="dataBar" id="{F83DB87E-6B55-4F18-9714-A0FE59C1D1FC}">
            <x14:dataBar minLength="0" maxLength="100" gradient="0">
              <x14:cfvo type="autoMin"/>
              <x14:cfvo type="autoMax"/>
              <x14:negativeFillColor theme="9" tint="0.39997558519241921"/>
              <x14:axisColor rgb="FF000000"/>
            </x14:dataBar>
          </x14:cfRule>
          <xm:sqref>AA22</xm:sqref>
        </x14:conditionalFormatting>
        <x14:conditionalFormatting xmlns:xm="http://schemas.microsoft.com/office/excel/2006/main">
          <x14:cfRule type="dataBar" id="{99356D59-E2CD-402A-A413-C3FE66329D75}">
            <x14:dataBar minLength="0" maxLength="100" gradient="0">
              <x14:cfvo type="autoMin"/>
              <x14:cfvo type="autoMax"/>
              <x14:negativeFillColor theme="5" tint="0.59999389629810485"/>
              <x14:axisColor rgb="FF000000"/>
            </x14:dataBar>
          </x14:cfRule>
          <xm:sqref>AA26</xm:sqref>
        </x14:conditionalFormatting>
        <x14:conditionalFormatting xmlns:xm="http://schemas.microsoft.com/office/excel/2006/main">
          <x14:cfRule type="dataBar" id="{4C5D4108-27C8-4852-949F-67ED213B267D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AH19:AH21</xm:sqref>
        </x14:conditionalFormatting>
        <x14:conditionalFormatting xmlns:xm="http://schemas.microsoft.com/office/excel/2006/main">
          <x14:cfRule type="dataBar" id="{36FDA2CB-ECE8-4569-B64A-3BB9A1D4B3F8}">
            <x14:dataBar minLength="0" maxLength="100" gradient="0">
              <x14:cfvo type="autoMin"/>
              <x14:cfvo type="autoMax"/>
              <x14:negativeFillColor theme="9" tint="0.39997558519241921"/>
              <x14:axisColor rgb="FF000000"/>
            </x14:dataBar>
          </x14:cfRule>
          <xm:sqref>AH22</xm:sqref>
        </x14:conditionalFormatting>
        <x14:conditionalFormatting xmlns:xm="http://schemas.microsoft.com/office/excel/2006/main">
          <x14:cfRule type="dataBar" id="{F7926584-67AF-4CAF-A4FE-B7B1D5E4DFDF}">
            <x14:dataBar minLength="0" maxLength="100" gradient="0">
              <x14:cfvo type="autoMin"/>
              <x14:cfvo type="autoMax"/>
              <x14:negativeFillColor theme="5" tint="0.59999389629810485"/>
              <x14:axisColor rgb="FF000000"/>
            </x14:dataBar>
          </x14:cfRule>
          <xm:sqref>AH26</xm:sqref>
        </x14:conditionalFormatting>
        <x14:conditionalFormatting xmlns:xm="http://schemas.microsoft.com/office/excel/2006/main">
          <x14:cfRule type="dataBar" id="{9CAD0505-104B-4C75-B707-74F5CB0862F5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F28</xm:sqref>
        </x14:conditionalFormatting>
        <x14:conditionalFormatting xmlns:xm="http://schemas.microsoft.com/office/excel/2006/main">
          <x14:cfRule type="dataBar" id="{8D8F3025-13DC-461F-B5CD-1C54803BE3E3}">
            <x14:dataBar minLength="0" maxLength="100" gradient="0">
              <x14:cfvo type="autoMin"/>
              <x14:cfvo type="autoMax"/>
              <x14:negativeFillColor theme="9" tint="0.39997558519241921"/>
              <x14:axisColor rgb="FF000000"/>
            </x14:dataBar>
          </x14:cfRule>
          <xm:sqref>F29</xm:sqref>
        </x14:conditionalFormatting>
        <x14:conditionalFormatting xmlns:xm="http://schemas.microsoft.com/office/excel/2006/main">
          <x14:cfRule type="dataBar" id="{BB5554A9-D308-43C7-BC1A-B43E405A1269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M28</xm:sqref>
        </x14:conditionalFormatting>
        <x14:conditionalFormatting xmlns:xm="http://schemas.microsoft.com/office/excel/2006/main">
          <x14:cfRule type="dataBar" id="{DF635684-C844-4C0B-BD7D-B67CE0187CB6}">
            <x14:dataBar minLength="0" maxLength="100" gradient="0">
              <x14:cfvo type="autoMin"/>
              <x14:cfvo type="autoMax"/>
              <x14:negativeFillColor theme="9" tint="0.39997558519241921"/>
              <x14:axisColor rgb="FF000000"/>
            </x14:dataBar>
          </x14:cfRule>
          <xm:sqref>M29</xm:sqref>
        </x14:conditionalFormatting>
        <x14:conditionalFormatting xmlns:xm="http://schemas.microsoft.com/office/excel/2006/main">
          <x14:cfRule type="dataBar" id="{D7C17FED-85BD-4999-A04C-4058E1F76C68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T28</xm:sqref>
        </x14:conditionalFormatting>
        <x14:conditionalFormatting xmlns:xm="http://schemas.microsoft.com/office/excel/2006/main">
          <x14:cfRule type="dataBar" id="{C53A262F-3E4B-42B3-9038-270C4EEB725F}">
            <x14:dataBar minLength="0" maxLength="100" gradient="0">
              <x14:cfvo type="autoMin"/>
              <x14:cfvo type="autoMax"/>
              <x14:negativeFillColor theme="9" tint="0.39997558519241921"/>
              <x14:axisColor rgb="FF000000"/>
            </x14:dataBar>
          </x14:cfRule>
          <xm:sqref>T29</xm:sqref>
        </x14:conditionalFormatting>
        <x14:conditionalFormatting xmlns:xm="http://schemas.microsoft.com/office/excel/2006/main">
          <x14:cfRule type="dataBar" id="{DB4B91BD-1BA5-42D2-9BBC-2E254272D093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AA28</xm:sqref>
        </x14:conditionalFormatting>
        <x14:conditionalFormatting xmlns:xm="http://schemas.microsoft.com/office/excel/2006/main">
          <x14:cfRule type="dataBar" id="{724C08D5-D3F0-4BF0-AEA5-CAD8F191280C}">
            <x14:dataBar minLength="0" maxLength="100" gradient="0">
              <x14:cfvo type="autoMin"/>
              <x14:cfvo type="autoMax"/>
              <x14:negativeFillColor theme="9" tint="0.39997558519241921"/>
              <x14:axisColor rgb="FF000000"/>
            </x14:dataBar>
          </x14:cfRule>
          <xm:sqref>AA29</xm:sqref>
        </x14:conditionalFormatting>
        <x14:conditionalFormatting xmlns:xm="http://schemas.microsoft.com/office/excel/2006/main">
          <x14:cfRule type="dataBar" id="{0F3317C0-42E9-415F-AB02-68AC8A7DB605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AH28</xm:sqref>
        </x14:conditionalFormatting>
        <x14:conditionalFormatting xmlns:xm="http://schemas.microsoft.com/office/excel/2006/main">
          <x14:cfRule type="dataBar" id="{A014434C-304C-4482-B5DD-D4D24A337F10}">
            <x14:dataBar minLength="0" maxLength="100" gradient="0">
              <x14:cfvo type="autoMin"/>
              <x14:cfvo type="autoMax"/>
              <x14:negativeFillColor theme="9" tint="0.39997558519241921"/>
              <x14:axisColor rgb="FF000000"/>
            </x14:dataBar>
          </x14:cfRule>
          <xm:sqref>AH29</xm:sqref>
        </x14:conditionalFormatting>
        <x14:conditionalFormatting xmlns:xm="http://schemas.microsoft.com/office/excel/2006/main">
          <x14:cfRule type="dataBar" id="{3F4281DA-CAD6-4EDC-A49B-52364A518D30}">
            <x14:dataBar minLength="0" maxLength="100" gradient="0">
              <x14:cfvo type="autoMin"/>
              <x14:cfvo type="autoMax"/>
              <x14:negativeFillColor theme="9" tint="0.39997558519241921"/>
              <x14:axisColor rgb="FF000000"/>
            </x14:dataBar>
          </x14:cfRule>
          <xm:sqref>F25</xm:sqref>
        </x14:conditionalFormatting>
        <x14:conditionalFormatting xmlns:xm="http://schemas.microsoft.com/office/excel/2006/main">
          <x14:cfRule type="dataBar" id="{13BF3304-A072-4A9E-AF86-2AC1DA3236FF}">
            <x14:dataBar minLength="0" maxLength="100" gradient="0">
              <x14:cfvo type="autoMin"/>
              <x14:cfvo type="autoMax"/>
              <x14:negativeFillColor theme="9" tint="0.39997558519241921"/>
              <x14:axisColor rgb="FF000000"/>
            </x14:dataBar>
          </x14:cfRule>
          <xm:sqref>M25</xm:sqref>
        </x14:conditionalFormatting>
        <x14:conditionalFormatting xmlns:xm="http://schemas.microsoft.com/office/excel/2006/main">
          <x14:cfRule type="dataBar" id="{4B578E2B-74D4-4462-9A3B-BB8ED8B8BE1D}">
            <x14:dataBar minLength="0" maxLength="100" gradient="0">
              <x14:cfvo type="autoMin"/>
              <x14:cfvo type="autoMax"/>
              <x14:negativeFillColor theme="9" tint="0.39997558519241921"/>
              <x14:axisColor rgb="FF000000"/>
            </x14:dataBar>
          </x14:cfRule>
          <xm:sqref>T25</xm:sqref>
        </x14:conditionalFormatting>
        <x14:conditionalFormatting xmlns:xm="http://schemas.microsoft.com/office/excel/2006/main">
          <x14:cfRule type="dataBar" id="{162872CF-D00E-4DEB-AD78-92E3519DB7C4}">
            <x14:dataBar minLength="0" maxLength="100" gradient="0">
              <x14:cfvo type="autoMin"/>
              <x14:cfvo type="autoMax"/>
              <x14:negativeFillColor theme="9" tint="0.39997558519241921"/>
              <x14:axisColor rgb="FF000000"/>
            </x14:dataBar>
          </x14:cfRule>
          <xm:sqref>AA25</xm:sqref>
        </x14:conditionalFormatting>
        <x14:conditionalFormatting xmlns:xm="http://schemas.microsoft.com/office/excel/2006/main">
          <x14:cfRule type="dataBar" id="{236D7315-91EC-4435-98B9-80EDC9E49475}">
            <x14:dataBar minLength="0" maxLength="100" gradient="0">
              <x14:cfvo type="autoMin"/>
              <x14:cfvo type="autoMax"/>
              <x14:negativeFillColor theme="9" tint="0.39997558519241921"/>
              <x14:axisColor rgb="FF000000"/>
            </x14:dataBar>
          </x14:cfRule>
          <xm:sqref>AH25</xm:sqref>
        </x14:conditionalFormatting>
        <x14:conditionalFormatting xmlns:xm="http://schemas.microsoft.com/office/excel/2006/main">
          <x14:cfRule type="dataBar" id="{5B2581F0-B7D2-42A4-B95C-364E66ADA169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AM30</xm:sqref>
        </x14:conditionalFormatting>
        <x14:conditionalFormatting xmlns:xm="http://schemas.microsoft.com/office/excel/2006/main">
          <x14:cfRule type="dataBar" id="{BCAAA84F-1838-4CF9-8A46-7D6ADEF0E5F0}">
            <x14:dataBar minLength="0" maxLength="100" gradient="0">
              <x14:cfvo type="autoMin"/>
              <x14:cfvo type="autoMax"/>
              <x14:negativeFillColor theme="9" tint="0.39997558519241921"/>
              <x14:axisColor rgb="FF000000"/>
            </x14:dataBar>
          </x14:cfRule>
          <xm:sqref>M23</xm:sqref>
        </x14:conditionalFormatting>
        <x14:conditionalFormatting xmlns:xm="http://schemas.microsoft.com/office/excel/2006/main">
          <x14:cfRule type="dataBar" id="{B3093A6B-9E46-4BA4-860D-A1FAB485735A}">
            <x14:dataBar minLength="0" maxLength="100" gradient="0">
              <x14:cfvo type="autoMin"/>
              <x14:cfvo type="autoMax"/>
              <x14:negativeFillColor theme="9" tint="0.39997558519241921"/>
              <x14:axisColor rgb="FF000000"/>
            </x14:dataBar>
          </x14:cfRule>
          <xm:sqref>T23</xm:sqref>
        </x14:conditionalFormatting>
        <x14:conditionalFormatting xmlns:xm="http://schemas.microsoft.com/office/excel/2006/main">
          <x14:cfRule type="dataBar" id="{036271F2-1DC1-476C-931F-BE58383728A8}">
            <x14:dataBar minLength="0" maxLength="100" gradient="0">
              <x14:cfvo type="autoMin"/>
              <x14:cfvo type="autoMax"/>
              <x14:negativeFillColor theme="9" tint="0.39997558519241921"/>
              <x14:axisColor rgb="FF000000"/>
            </x14:dataBar>
          </x14:cfRule>
          <xm:sqref>AA23</xm:sqref>
        </x14:conditionalFormatting>
        <x14:conditionalFormatting xmlns:xm="http://schemas.microsoft.com/office/excel/2006/main">
          <x14:cfRule type="dataBar" id="{C247541C-B955-434F-A50D-15B1086686EA}">
            <x14:dataBar minLength="0" maxLength="100" gradient="0">
              <x14:cfvo type="autoMin"/>
              <x14:cfvo type="autoMax"/>
              <x14:negativeFillColor theme="9" tint="0.39997558519241921"/>
              <x14:axisColor rgb="FF000000"/>
            </x14:dataBar>
          </x14:cfRule>
          <xm:sqref>AH23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D0FD1-5145-4FD0-9581-10A9305B7ACD}">
  <sheetPr codeName="Sheet7"/>
  <dimension ref="A1:Y16"/>
  <sheetViews>
    <sheetView zoomScale="110" zoomScaleNormal="110" workbookViewId="0">
      <selection activeCell="G15" sqref="G15"/>
    </sheetView>
  </sheetViews>
  <sheetFormatPr defaultColWidth="8.77734375" defaultRowHeight="13.8" x14ac:dyDescent="0.25"/>
  <cols>
    <col min="1" max="1" width="23.6640625" style="15" bestFit="1" customWidth="1"/>
    <col min="2" max="2" width="9.21875" style="17" bestFit="1" customWidth="1"/>
    <col min="3" max="3" width="6.6640625" style="15" bestFit="1" customWidth="1"/>
    <col min="4" max="4" width="5.77734375" style="15" bestFit="1" customWidth="1"/>
    <col min="5" max="5" width="0.88671875" style="15" customWidth="1"/>
    <col min="6" max="6" width="23.6640625" style="15" bestFit="1" customWidth="1"/>
    <col min="7" max="7" width="8.21875" style="15" bestFit="1" customWidth="1"/>
    <col min="8" max="8" width="7.21875" style="15" bestFit="1" customWidth="1"/>
    <col min="9" max="9" width="5.77734375" style="15" bestFit="1" customWidth="1"/>
    <col min="10" max="10" width="0.88671875" style="15" customWidth="1"/>
    <col min="11" max="11" width="23.6640625" style="15" bestFit="1" customWidth="1"/>
    <col min="12" max="12" width="9.21875" style="15" bestFit="1" customWidth="1"/>
    <col min="13" max="13" width="6.6640625" style="15" bestFit="1" customWidth="1"/>
    <col min="14" max="14" width="5.77734375" style="15" bestFit="1" customWidth="1"/>
    <col min="15" max="15" width="0.88671875" style="15" customWidth="1"/>
    <col min="16" max="16" width="23.6640625" style="15" bestFit="1" customWidth="1"/>
    <col min="17" max="17" width="8.5546875" style="15" bestFit="1" customWidth="1"/>
    <col min="18" max="18" width="6.6640625" style="15" bestFit="1" customWidth="1"/>
    <col min="19" max="19" width="5.77734375" style="15" bestFit="1" customWidth="1"/>
    <col min="20" max="20" width="0.88671875" style="15" customWidth="1"/>
    <col min="21" max="21" width="23.6640625" style="15" bestFit="1" customWidth="1"/>
    <col min="22" max="22" width="8.21875" style="15" bestFit="1" customWidth="1"/>
    <col min="23" max="23" width="7.21875" style="15" bestFit="1" customWidth="1"/>
    <col min="24" max="24" width="5.77734375" style="15" bestFit="1" customWidth="1"/>
    <col min="25" max="16384" width="8.77734375" style="15"/>
  </cols>
  <sheetData>
    <row r="1" spans="1:25" x14ac:dyDescent="0.25">
      <c r="A1" s="160" t="s">
        <v>39</v>
      </c>
      <c r="B1" s="161"/>
      <c r="C1" s="161"/>
      <c r="D1" s="162"/>
      <c r="F1" s="160" t="s">
        <v>40</v>
      </c>
      <c r="G1" s="161"/>
      <c r="H1" s="161"/>
      <c r="I1" s="162"/>
      <c r="K1" s="160" t="s">
        <v>41</v>
      </c>
      <c r="L1" s="161"/>
      <c r="M1" s="161"/>
      <c r="N1" s="162"/>
      <c r="P1" s="160" t="s">
        <v>42</v>
      </c>
      <c r="Q1" s="161"/>
      <c r="R1" s="161"/>
      <c r="S1" s="162"/>
      <c r="U1" s="156" t="s">
        <v>43</v>
      </c>
      <c r="V1" s="156"/>
      <c r="W1" s="156"/>
      <c r="X1" s="156"/>
    </row>
    <row r="2" spans="1:25" x14ac:dyDescent="0.25">
      <c r="A2" s="163" t="s">
        <v>23</v>
      </c>
      <c r="B2" s="157"/>
      <c r="C2" s="157"/>
      <c r="D2" s="164"/>
      <c r="F2" s="163" t="s">
        <v>23</v>
      </c>
      <c r="G2" s="157"/>
      <c r="H2" s="157"/>
      <c r="I2" s="164"/>
      <c r="K2" s="163" t="s">
        <v>23</v>
      </c>
      <c r="L2" s="157"/>
      <c r="M2" s="157"/>
      <c r="N2" s="164"/>
      <c r="P2" s="163" t="s">
        <v>23</v>
      </c>
      <c r="Q2" s="157"/>
      <c r="R2" s="157"/>
      <c r="S2" s="164"/>
      <c r="U2" s="157" t="s">
        <v>23</v>
      </c>
      <c r="V2" s="157"/>
      <c r="W2" s="157"/>
      <c r="X2" s="157"/>
    </row>
    <row r="3" spans="1:25" ht="14.55" customHeight="1" x14ac:dyDescent="0.25">
      <c r="A3" s="165" t="s">
        <v>0</v>
      </c>
      <c r="B3" s="169" t="s">
        <v>1</v>
      </c>
      <c r="C3" s="135" t="s">
        <v>3</v>
      </c>
      <c r="D3" s="167" t="s">
        <v>4</v>
      </c>
      <c r="F3" s="165" t="s">
        <v>0</v>
      </c>
      <c r="G3" s="158" t="s">
        <v>1</v>
      </c>
      <c r="H3" s="135" t="s">
        <v>3</v>
      </c>
      <c r="I3" s="167" t="s">
        <v>4</v>
      </c>
      <c r="K3" s="165" t="s">
        <v>0</v>
      </c>
      <c r="L3" s="158" t="s">
        <v>1</v>
      </c>
      <c r="M3" s="135" t="s">
        <v>3</v>
      </c>
      <c r="N3" s="167" t="s">
        <v>4</v>
      </c>
      <c r="P3" s="165" t="s">
        <v>0</v>
      </c>
      <c r="Q3" s="158" t="s">
        <v>1</v>
      </c>
      <c r="R3" s="135" t="s">
        <v>3</v>
      </c>
      <c r="S3" s="167" t="s">
        <v>4</v>
      </c>
      <c r="U3" s="135" t="s">
        <v>0</v>
      </c>
      <c r="V3" s="158" t="s">
        <v>1</v>
      </c>
      <c r="W3" s="135" t="s">
        <v>3</v>
      </c>
      <c r="X3" s="135" t="s">
        <v>4</v>
      </c>
    </row>
    <row r="4" spans="1:25" ht="14.55" customHeight="1" x14ac:dyDescent="0.25">
      <c r="A4" s="166"/>
      <c r="B4" s="170"/>
      <c r="C4" s="136"/>
      <c r="D4" s="168"/>
      <c r="F4" s="166"/>
      <c r="G4" s="159"/>
      <c r="H4" s="136"/>
      <c r="I4" s="168"/>
      <c r="K4" s="166"/>
      <c r="L4" s="159"/>
      <c r="M4" s="136"/>
      <c r="N4" s="168"/>
      <c r="P4" s="166"/>
      <c r="Q4" s="159"/>
      <c r="R4" s="136"/>
      <c r="S4" s="168"/>
      <c r="U4" s="136"/>
      <c r="V4" s="159"/>
      <c r="W4" s="136"/>
      <c r="X4" s="136"/>
    </row>
    <row r="5" spans="1:25" s="31" customFormat="1" x14ac:dyDescent="0.25">
      <c r="A5" s="36" t="s">
        <v>121</v>
      </c>
      <c r="B5" s="7">
        <f>'[26]Jenis Kegiatan'!$I$31/1000000000</f>
        <v>24069.681163755999</v>
      </c>
      <c r="C5" s="25">
        <f>'[26]Jenis Kegiatan'!$I$31/'[27]Jenis Kegiatan'!$I$31-1</f>
        <v>5.923281092329491E-2</v>
      </c>
      <c r="D5" s="37">
        <f>'[26]Jenis Kegiatan'!$K$31</f>
        <v>2.8982915150511289E-2</v>
      </c>
      <c r="F5" s="36" t="str">
        <f>A5</f>
        <v>Perusahaan pembiayaan (Juni)</v>
      </c>
      <c r="G5" s="7">
        <f>'[26]Jenis Kegiatan'!$I$7/1000000000</f>
        <v>6302.2094872280004</v>
      </c>
      <c r="H5" s="25">
        <f>'[26]Jenis Kegiatan'!$I$7/'[27]Jenis Kegiatan'!$I$7-1</f>
        <v>4.5107813643977979E-2</v>
      </c>
      <c r="I5" s="37">
        <f>'[26]Jenis Kegiatan'!$K$7</f>
        <v>1.7209993995249768E-2</v>
      </c>
      <c r="K5" s="36" t="str">
        <f>F5</f>
        <v>Perusahaan pembiayaan (Juni)</v>
      </c>
      <c r="L5" s="7">
        <f>'[26]Jenis Kegiatan'!$I$85/1000000000</f>
        <v>23203.206327345</v>
      </c>
      <c r="M5" s="25">
        <f>'[26]Jenis Kegiatan'!$I$85/'[27]Jenis Kegiatan'!$I$85-1</f>
        <v>3.7409573898233184E-2</v>
      </c>
      <c r="N5" s="37">
        <f>'[26]Jenis Kegiatan'!$K$85</f>
        <v>2.1947060234121938E-2</v>
      </c>
      <c r="P5" s="36" t="str">
        <f>K5</f>
        <v>Perusahaan pembiayaan (Juni)</v>
      </c>
      <c r="Q5" s="7">
        <f>'[26]Jenis Kegiatan'!$I$65/1000000000</f>
        <v>6011.033643705</v>
      </c>
      <c r="R5" s="25">
        <f>'[26]Jenis Kegiatan'!$I$65/'[27]Jenis Kegiatan'!$I$65-1</f>
        <v>9.2872969144093487E-2</v>
      </c>
      <c r="S5" s="37">
        <f>'[26]Jenis Kegiatan'!$K$65</f>
        <v>2.5410518211449244E-2</v>
      </c>
      <c r="U5" s="14" t="str">
        <f>P5</f>
        <v>Perusahaan pembiayaan (Juni)</v>
      </c>
      <c r="V5" s="7">
        <f>'[26]Jenis Kegiatan'!$I$163/1000000000</f>
        <v>6039.5290023469997</v>
      </c>
      <c r="W5" s="25">
        <f>'[26]Jenis Kegiatan'!$I$163/'[27]Jenis Kegiatan'!$I$163-1</f>
        <v>5.6545372704181585E-2</v>
      </c>
      <c r="X5" s="12">
        <f>'[26]Jenis Kegiatan'!$K$163</f>
        <v>1.5135806526879209E-2</v>
      </c>
    </row>
    <row r="6" spans="1:25" s="31" customFormat="1" x14ac:dyDescent="0.25">
      <c r="A6" s="36" t="s">
        <v>122</v>
      </c>
      <c r="B6" s="7">
        <f>'[28]Modal Ventura'!$B$31/1000000000</f>
        <v>711.06361245799997</v>
      </c>
      <c r="C6" s="25">
        <f>'[28]Modal Ventura'!$B$31/'[29]Modal Ventura'!$B$31-1</f>
        <v>0.45171022302427444</v>
      </c>
      <c r="D6" s="37">
        <f>'[28]Modal Ventura'!$C$31</f>
        <v>6.3685041030945411E-2</v>
      </c>
      <c r="F6" s="36" t="str">
        <f>A6</f>
        <v>Modal Ventura (Juni)</v>
      </c>
      <c r="G6" s="7">
        <f>'[28]Modal Ventura'!$B$7/1000000000</f>
        <v>9.5435361620000005</v>
      </c>
      <c r="H6" s="25">
        <f>'[28]Modal Ventura'!$B$7/'[29]Modal Ventura'!$B$7-1</f>
        <v>-0.43328939332013072</v>
      </c>
      <c r="I6" s="37">
        <f>'[28]Modal Ventura'!$C$7</f>
        <v>2.2438056121445438E-2</v>
      </c>
      <c r="K6" s="36" t="str">
        <f>F6</f>
        <v>Modal Ventura (Juni)</v>
      </c>
      <c r="L6" s="7">
        <f>'[28]Modal Ventura'!$B$85/1000000000</f>
        <v>115.050022916</v>
      </c>
      <c r="M6" s="25">
        <f>'[28]Modal Ventura'!$B$85/'[29]Modal Ventura'!$B$85-1</f>
        <v>0.15626343542449184</v>
      </c>
      <c r="N6" s="37">
        <f>'[28]Modal Ventura'!$C$85</f>
        <v>7.78238446465778E-3</v>
      </c>
      <c r="P6" s="36" t="str">
        <f>K6</f>
        <v>Modal Ventura (Juni)</v>
      </c>
      <c r="Q6" s="7">
        <f>'[28]Modal Ventura'!$B$65/1000000000</f>
        <v>295.45556699799999</v>
      </c>
      <c r="R6" s="25">
        <f>'[28]Modal Ventura'!$B$65/'[29]Modal Ventura'!$B$65-1</f>
        <v>0.18012003077450744</v>
      </c>
      <c r="S6" s="37">
        <f>'[28]Modal Ventura'!$C$65</f>
        <v>3.4644218039287404E-2</v>
      </c>
      <c r="U6" s="14" t="str">
        <f>P6</f>
        <v>Modal Ventura (Juni)</v>
      </c>
      <c r="V6" s="7">
        <f>'[28]Modal Ventura'!$B$163/1000000000</f>
        <v>23.906720004</v>
      </c>
      <c r="W6" s="25">
        <f>'[28]Modal Ventura'!$B$163/'[29]Modal Ventura'!$B$163-1</f>
        <v>0.2065369479116097</v>
      </c>
      <c r="X6" s="12">
        <f>'[28]Modal Ventura'!$C$163</f>
        <v>9.1084935099238224E-3</v>
      </c>
    </row>
    <row r="7" spans="1:25" s="88" customFormat="1" x14ac:dyDescent="0.25">
      <c r="A7" s="85" t="s">
        <v>110</v>
      </c>
      <c r="B7" s="86">
        <f>[30]P2PL_Data_Kualitas_Pendanaan_OS!$S$14/1000000000</f>
        <v>3974.6594710300001</v>
      </c>
      <c r="C7" s="25">
        <f>[30]P2PL_Data_Kualitas_Pendanaan_OS!$S$14/[30]P2PL_Data_Kualitas_Pendanaan_OS!$R$14-1</f>
        <v>0.290957592404119</v>
      </c>
      <c r="D7" s="87">
        <f>[30]P2PL_Data_Kualitas_Pendanaan_OS!$S$20</f>
        <v>1.7654178847129311E-2</v>
      </c>
      <c r="F7" s="85" t="str">
        <f>A7</f>
        <v>Fintech (Jun)</v>
      </c>
      <c r="G7" s="86">
        <f>[30]P2PL_Data_Kualitas_Pendanaan_OS!$S$15/1000000000</f>
        <v>182.781214218</v>
      </c>
      <c r="H7" s="25">
        <f>[30]P2PL_Data_Kualitas_Pendanaan_OS!$S$15/[30]P2PL_Data_Kualitas_Pendanaan_OS!$R$15-1</f>
        <v>-7.1689045836586196E-2</v>
      </c>
      <c r="I7" s="87">
        <f>[30]P2PL_Data_Kualitas_Pendanaan_OS!$S$20</f>
        <v>1.7654178847129311E-2</v>
      </c>
      <c r="K7" s="85" t="str">
        <f>F7</f>
        <v>Fintech (Jun)</v>
      </c>
      <c r="L7" s="86">
        <f>[30]P2PL_Data_Kualitas_Pendanaan_OS!$S$17/1000000000</f>
        <v>2060.088186472</v>
      </c>
      <c r="M7" s="25">
        <f>[30]P2PL_Data_Kualitas_Pendanaan_OS!$S$17/[30]P2PL_Data_Kualitas_Pendanaan_OS!$R$17-1</f>
        <v>0.31569621016301785</v>
      </c>
      <c r="N7" s="87">
        <f>[30]P2PL_Data_Kualitas_Pendanaan_OS!$S$20</f>
        <v>1.7654178847129311E-2</v>
      </c>
      <c r="P7" s="85" t="str">
        <f>K7</f>
        <v>Fintech (Jun)</v>
      </c>
      <c r="Q7" s="86">
        <f>[30]P2PL_Data_Kualitas_Pendanaan_OS!$S$16/1000000000</f>
        <v>1725.528312573</v>
      </c>
      <c r="R7" s="25">
        <f>[30]P2PL_Data_Kualitas_Pendanaan_OS!$S$16/[30]P2PL_Data_Kualitas_Pendanaan_OS!$R$16-1</f>
        <v>0.23347770346767982</v>
      </c>
      <c r="S7" s="87">
        <f>[30]P2PL_Data_Kualitas_Pendanaan_OS!$S$20</f>
        <v>1.7654178847129311E-2</v>
      </c>
      <c r="U7" s="89" t="str">
        <f>P7</f>
        <v>Fintech (Jun)</v>
      </c>
      <c r="V7" s="86">
        <f>[30]P2PL_Data_Kualitas_Pendanaan_OS!$S$18/1000000000</f>
        <v>1396.978615898</v>
      </c>
      <c r="W7" s="25">
        <f>[30]P2PL_Data_Kualitas_Pendanaan_OS!$S$18/[30]P2PL_Data_Kualitas_Pendanaan_OS!$R$18-1</f>
        <v>0.40679765887046737</v>
      </c>
      <c r="X7" s="87">
        <f>[30]P2PL_Data_Kualitas_Pendanaan_OS!$S$20</f>
        <v>1.7654178847129311E-2</v>
      </c>
      <c r="Y7" s="88" t="s">
        <v>47</v>
      </c>
    </row>
    <row r="8" spans="1:25" s="31" customFormat="1" x14ac:dyDescent="0.25">
      <c r="A8" s="36" t="s">
        <v>109</v>
      </c>
      <c r="B8" s="7">
        <f>'[31]Kinerja-Gadai Swasta'!$G$4/1000000000</f>
        <v>385.74006661999999</v>
      </c>
      <c r="C8" s="25">
        <f>'[31]Kinerja-Gadai Swasta'!$G$4/'[31]Kinerja-Gadai Swasta'!$F$4-1</f>
        <v>0.26503883067405054</v>
      </c>
      <c r="D8" s="127">
        <v>1.6000000000000001E-3</v>
      </c>
      <c r="F8" s="36" t="str">
        <f>A8</f>
        <v>Pergadaian Swasta (Q2-2026)</v>
      </c>
      <c r="G8" s="33" t="s">
        <v>51</v>
      </c>
      <c r="H8" s="33" t="s">
        <v>51</v>
      </c>
      <c r="I8" s="42" t="s">
        <v>51</v>
      </c>
      <c r="K8" s="117" t="str">
        <f>F8</f>
        <v>Pergadaian Swasta (Q2-2026)</v>
      </c>
      <c r="L8" s="118">
        <f>'[32]Kinerja-Gadai Swasta'!$G$6/1000000000</f>
        <v>68.968925914699994</v>
      </c>
      <c r="M8" s="25">
        <f>'[32]Kinerja-Gadai Swasta'!$G$6/'[32]Kinerja-Gadai Swasta'!$F$6-1</f>
        <v>0.66011920995542805</v>
      </c>
      <c r="N8" s="119">
        <f>'[32]Kinerja-Gadai Swasta'!$K$6</f>
        <v>6.2186927899387782E-2</v>
      </c>
      <c r="P8" s="36" t="str">
        <f>K8</f>
        <v>Pergadaian Swasta (Q2-2026)</v>
      </c>
      <c r="Q8" s="33" t="s">
        <v>51</v>
      </c>
      <c r="R8" s="33" t="s">
        <v>51</v>
      </c>
      <c r="S8" s="42" t="s">
        <v>51</v>
      </c>
      <c r="U8" s="14" t="str">
        <f>P8</f>
        <v>Pergadaian Swasta (Q2-2026)</v>
      </c>
      <c r="V8" s="7">
        <f>'[33]Kinerja-Gadai Swasta'!$G$8/1000000000</f>
        <v>205.18943731499999</v>
      </c>
      <c r="W8" s="25">
        <f>'[33]Kinerja-Gadai Swasta'!$G$8/'[33]Kinerja-Gadai Swasta'!$F$8-1</f>
        <v>-0.11224336178936289</v>
      </c>
      <c r="X8" s="84" t="str">
        <f>'[34]Kinerja-Gadai Swasta'!$J$8</f>
        <v>5.25%</v>
      </c>
    </row>
    <row r="9" spans="1:25" s="31" customFormat="1" ht="14.4" thickBot="1" x14ac:dyDescent="0.3">
      <c r="A9" s="38" t="s">
        <v>123</v>
      </c>
      <c r="B9" s="39">
        <f>'[31]Kinerja-LKM'!$H$5/1000000000</f>
        <v>9.5882078859999993</v>
      </c>
      <c r="C9" s="40">
        <f>'[31]Kinerja-LKM'!$H$5/'[31]Kinerja-LKM'!$G$5-1</f>
        <v>0.17064923460521753</v>
      </c>
      <c r="D9" s="41" t="s">
        <v>5</v>
      </c>
      <c r="F9" s="38" t="s">
        <v>123</v>
      </c>
      <c r="G9" s="43">
        <f>'[35]Kinerja-LKM'!$H$8/1000000000</f>
        <v>36.761157681</v>
      </c>
      <c r="H9" s="40">
        <f>'[35]Kinerja-LKM'!$H$8/'[35]Kinerja-LKM'!$G$8-1</f>
        <v>3.7702359795572793E-3</v>
      </c>
      <c r="I9" s="44" t="s">
        <v>5</v>
      </c>
      <c r="K9" s="38" t="s">
        <v>123</v>
      </c>
      <c r="L9" s="120">
        <f>'[36]Kinerja-LKM'!$H$7/1000000000</f>
        <v>1.6800000000000001E-3</v>
      </c>
      <c r="M9" s="40">
        <f>'[36]Kinerja-LKM'!$H$7/'[36]Kinerja-LKM'!$G$7-1</f>
        <v>0</v>
      </c>
      <c r="N9" s="121" t="s">
        <v>5</v>
      </c>
      <c r="P9" s="38" t="s">
        <v>123</v>
      </c>
      <c r="Q9" s="131">
        <f>'[37]Kinerja-LKM'!$H$6/1000000000</f>
        <v>2.7970951400000001</v>
      </c>
      <c r="R9" s="40">
        <f>'[37]Kinerja-LKM'!$H$6/'[37]Kinerja-LKM'!$G$6-1</f>
        <v>0.13189630906955285</v>
      </c>
      <c r="S9" s="45" t="s">
        <v>5</v>
      </c>
      <c r="U9" s="38" t="s">
        <v>123</v>
      </c>
      <c r="V9" s="7" t="s">
        <v>51</v>
      </c>
      <c r="W9" s="7" t="s">
        <v>51</v>
      </c>
      <c r="X9" s="7" t="s">
        <v>51</v>
      </c>
    </row>
    <row r="10" spans="1:25" x14ac:dyDescent="0.25">
      <c r="A10" s="16"/>
    </row>
    <row r="12" spans="1:25" x14ac:dyDescent="0.25">
      <c r="B12" s="35">
        <f>B5/(C5+1)</f>
        <v>22723.692955446997</v>
      </c>
      <c r="G12" s="35">
        <f>G5/(H5+1)</f>
        <v>6030.2003343120014</v>
      </c>
      <c r="L12" s="35">
        <f>L5/(M5+1)</f>
        <v>22366.485630313997</v>
      </c>
      <c r="Q12" s="35">
        <f>Q5/(R5+1)</f>
        <v>5500.2125712860006</v>
      </c>
      <c r="V12" s="35">
        <f>V5/(W5+1)</f>
        <v>5716.2987585560004</v>
      </c>
    </row>
    <row r="13" spans="1:25" x14ac:dyDescent="0.25">
      <c r="B13" s="35">
        <f>B6/(C6+1)</f>
        <v>489.81098374899994</v>
      </c>
      <c r="G13" s="35">
        <f>G6/(H6+1)</f>
        <v>16.840228591999999</v>
      </c>
      <c r="L13" s="35">
        <f>L6/(M6+1)</f>
        <v>99.501566330999992</v>
      </c>
      <c r="Q13" s="35">
        <f>Q6/(R6+1)</f>
        <v>250.360606797</v>
      </c>
      <c r="V13" s="35">
        <f>V6/(W6+1)</f>
        <v>19.814328972999999</v>
      </c>
    </row>
    <row r="14" spans="1:25" x14ac:dyDescent="0.25">
      <c r="B14" s="35">
        <f>B7/(C7+1)</f>
        <v>3078.8458849590002</v>
      </c>
      <c r="G14" s="35">
        <f>G7/(H7+1)</f>
        <v>196.89653924500001</v>
      </c>
      <c r="L14" s="35">
        <f>L7/(M7+1)</f>
        <v>1565.778004496</v>
      </c>
      <c r="Q14" s="35">
        <f>Q7/(R7+1)</f>
        <v>1398.913257793</v>
      </c>
      <c r="V14" s="35">
        <f>V7/(W7+1)</f>
        <v>993.02028766499996</v>
      </c>
    </row>
    <row r="15" spans="1:25" x14ac:dyDescent="0.25">
      <c r="B15" s="35">
        <f>B8/(C8+1)</f>
        <v>304.92349899999999</v>
      </c>
      <c r="G15" s="35" t="e">
        <f>G8/(H8+1)</f>
        <v>#VALUE!</v>
      </c>
      <c r="L15" s="35">
        <f>L8/(M8+1)</f>
        <v>41.544562282699999</v>
      </c>
      <c r="Q15" s="35" t="e">
        <f>Q8/(R8+1)</f>
        <v>#VALUE!</v>
      </c>
      <c r="V15" s="35">
        <f>V8/(W8+1)</f>
        <v>231.13252943800001</v>
      </c>
    </row>
    <row r="16" spans="1:25" x14ac:dyDescent="0.25">
      <c r="B16" s="35">
        <f>B9/(C9+1)</f>
        <v>8.1905045530000002</v>
      </c>
      <c r="G16" s="35">
        <f>G9/(H9+1)</f>
        <v>36.623080027</v>
      </c>
      <c r="L16" s="35">
        <f>L9/(M9+1)</f>
        <v>1.6800000000000001E-3</v>
      </c>
      <c r="Q16" s="35">
        <f>Q9/(R9+1)</f>
        <v>2.4711584599999998</v>
      </c>
      <c r="V16" s="35" t="e">
        <f>V9/(W9+1)</f>
        <v>#VALUE!</v>
      </c>
    </row>
  </sheetData>
  <mergeCells count="30">
    <mergeCell ref="A1:D1"/>
    <mergeCell ref="F1:I1"/>
    <mergeCell ref="F2:I2"/>
    <mergeCell ref="F3:F4"/>
    <mergeCell ref="G3:G4"/>
    <mergeCell ref="H3:H4"/>
    <mergeCell ref="I3:I4"/>
    <mergeCell ref="A2:D2"/>
    <mergeCell ref="A3:A4"/>
    <mergeCell ref="C3:C4"/>
    <mergeCell ref="D3:D4"/>
    <mergeCell ref="B3:B4"/>
    <mergeCell ref="K1:N1"/>
    <mergeCell ref="K2:N2"/>
    <mergeCell ref="K3:K4"/>
    <mergeCell ref="L3:L4"/>
    <mergeCell ref="M3:M4"/>
    <mergeCell ref="N3:N4"/>
    <mergeCell ref="P1:S1"/>
    <mergeCell ref="P2:S2"/>
    <mergeCell ref="P3:P4"/>
    <mergeCell ref="Q3:Q4"/>
    <mergeCell ref="R3:R4"/>
    <mergeCell ref="S3:S4"/>
    <mergeCell ref="U1:X1"/>
    <mergeCell ref="U2:X2"/>
    <mergeCell ref="U3:U4"/>
    <mergeCell ref="V3:V4"/>
    <mergeCell ref="W3:W4"/>
    <mergeCell ref="X3:X4"/>
  </mergeCells>
  <conditionalFormatting sqref="C5">
    <cfRule type="dataBar" priority="3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{DFD8958D-CC03-4C03-9935-5E8E5FB2E90A}</x14:id>
        </ext>
      </extLst>
    </cfRule>
  </conditionalFormatting>
  <conditionalFormatting sqref="H5">
    <cfRule type="dataBar" priority="2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{B315E3A3-0B65-4FAB-907D-0C31306FF05B}</x14:id>
        </ext>
      </extLst>
    </cfRule>
  </conditionalFormatting>
  <conditionalFormatting sqref="H6">
    <cfRule type="dataBar" priority="2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{51D12BDF-9CAB-4F19-A75A-022502C434C1}</x14:id>
        </ext>
      </extLst>
    </cfRule>
  </conditionalFormatting>
  <conditionalFormatting sqref="M5">
    <cfRule type="dataBar" priority="2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{FFAEC6CF-F89A-45C4-9C11-2BABC19F756C}</x14:id>
        </ext>
      </extLst>
    </cfRule>
  </conditionalFormatting>
  <conditionalFormatting sqref="M6">
    <cfRule type="dataBar" priority="2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{CC150CAC-6B23-4993-A972-4479534638D7}</x14:id>
        </ext>
      </extLst>
    </cfRule>
  </conditionalFormatting>
  <conditionalFormatting sqref="R5">
    <cfRule type="dataBar" priority="2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{359EEA9D-0E0D-4B86-9C25-8253895DAE6A}</x14:id>
        </ext>
      </extLst>
    </cfRule>
  </conditionalFormatting>
  <conditionalFormatting sqref="R6">
    <cfRule type="dataBar" priority="2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{4B3B077B-6868-425E-8D9B-B49B8F0FFDD8}</x14:id>
        </ext>
      </extLst>
    </cfRule>
  </conditionalFormatting>
  <conditionalFormatting sqref="W5">
    <cfRule type="dataBar" priority="23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{5DD531D4-F012-4059-9B64-83788DD5769D}</x14:id>
        </ext>
      </extLst>
    </cfRule>
  </conditionalFormatting>
  <conditionalFormatting sqref="W6">
    <cfRule type="dataBar" priority="22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{D556EF94-F7C7-4C9D-9580-4F6B2E868ABB}</x14:id>
        </ext>
      </extLst>
    </cfRule>
  </conditionalFormatting>
  <conditionalFormatting sqref="C6">
    <cfRule type="dataBar" priority="31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{43E59023-4BEA-45F0-B1F8-B6951130FF4A}</x14:id>
        </ext>
      </extLst>
    </cfRule>
  </conditionalFormatting>
  <conditionalFormatting sqref="C7">
    <cfRule type="dataBar" priority="21">
      <dataBar>
        <cfvo type="min"/>
        <cfvo type="max"/>
        <color rgb="FFC6E0B4"/>
      </dataBar>
      <extLst>
        <ext xmlns:x14="http://schemas.microsoft.com/office/spreadsheetml/2009/9/main" uri="{B025F937-C7B1-47D3-B67F-A62EFF666E3E}">
          <x14:id>{49C630AF-4A8D-420E-8E4B-C3EB8841CE7E}</x14:id>
        </ext>
      </extLst>
    </cfRule>
  </conditionalFormatting>
  <conditionalFormatting sqref="C8">
    <cfRule type="dataBar" priority="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{37A2A44F-3095-4004-8E93-DC8C040ADBE5}</x14:id>
        </ext>
      </extLst>
    </cfRule>
  </conditionalFormatting>
  <conditionalFormatting sqref="M8">
    <cfRule type="dataBar" priority="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{5942472C-7381-4156-A284-E7725E5A231F}</x14:id>
        </ext>
      </extLst>
    </cfRule>
  </conditionalFormatting>
  <conditionalFormatting sqref="W8">
    <cfRule type="dataBar" priority="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{4F1E7B1F-A09D-4362-8A95-E86CFC959A22}</x14:id>
        </ext>
      </extLst>
    </cfRule>
  </conditionalFormatting>
  <conditionalFormatting sqref="C9">
    <cfRule type="dataBar" priority="12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{8BDF2772-F029-4279-935A-D88C1837FB7E}</x14:id>
        </ext>
      </extLst>
    </cfRule>
  </conditionalFormatting>
  <conditionalFormatting sqref="H9">
    <cfRule type="dataBar" priority="11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{114C9963-31CA-4D11-8DCE-D6BB428091C4}</x14:id>
        </ext>
      </extLst>
    </cfRule>
  </conditionalFormatting>
  <conditionalFormatting sqref="R9">
    <cfRule type="dataBar" priority="1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{B81082C6-ABC5-4360-B18D-B66A791142BC}</x14:id>
        </ext>
      </extLst>
    </cfRule>
  </conditionalFormatting>
  <conditionalFormatting sqref="M9">
    <cfRule type="dataBar" priority="13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{E0F4A5E7-AAE5-4AF5-AF7E-0A33BE7A6FF4}</x14:id>
        </ext>
      </extLst>
    </cfRule>
  </conditionalFormatting>
  <conditionalFormatting sqref="H7">
    <cfRule type="dataBar" priority="4">
      <dataBar>
        <cfvo type="min"/>
        <cfvo type="max"/>
        <color rgb="FFC6E0B4"/>
      </dataBar>
      <extLst>
        <ext xmlns:x14="http://schemas.microsoft.com/office/spreadsheetml/2009/9/main" uri="{B025F937-C7B1-47D3-B67F-A62EFF666E3E}">
          <x14:id>{0E291CC8-BFFE-4FE8-8AF0-5E909FF25DFD}</x14:id>
        </ext>
      </extLst>
    </cfRule>
  </conditionalFormatting>
  <conditionalFormatting sqref="M7">
    <cfRule type="dataBar" priority="3">
      <dataBar>
        <cfvo type="min"/>
        <cfvo type="max"/>
        <color rgb="FFC6E0B4"/>
      </dataBar>
      <extLst>
        <ext xmlns:x14="http://schemas.microsoft.com/office/spreadsheetml/2009/9/main" uri="{B025F937-C7B1-47D3-B67F-A62EFF666E3E}">
          <x14:id>{651EEB48-7823-4B11-BC33-4E23D8B557EE}</x14:id>
        </ext>
      </extLst>
    </cfRule>
  </conditionalFormatting>
  <conditionalFormatting sqref="R7">
    <cfRule type="dataBar" priority="2">
      <dataBar>
        <cfvo type="min"/>
        <cfvo type="max"/>
        <color rgb="FFC6E0B4"/>
      </dataBar>
      <extLst>
        <ext xmlns:x14="http://schemas.microsoft.com/office/spreadsheetml/2009/9/main" uri="{B025F937-C7B1-47D3-B67F-A62EFF666E3E}">
          <x14:id>{EC0B6BE5-C738-4789-84FF-D94F7912B0FC}</x14:id>
        </ext>
      </extLst>
    </cfRule>
  </conditionalFormatting>
  <conditionalFormatting sqref="W7">
    <cfRule type="dataBar" priority="1">
      <dataBar>
        <cfvo type="min"/>
        <cfvo type="max"/>
        <color rgb="FFC6E0B4"/>
      </dataBar>
      <extLst>
        <ext xmlns:x14="http://schemas.microsoft.com/office/spreadsheetml/2009/9/main" uri="{B025F937-C7B1-47D3-B67F-A62EFF666E3E}">
          <x14:id>{0D398518-FBB6-4F33-99B7-557494B6A746}</x14:id>
        </ext>
      </extLs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D8958D-CC03-4C03-9935-5E8E5FB2E90A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C5</xm:sqref>
        </x14:conditionalFormatting>
        <x14:conditionalFormatting xmlns:xm="http://schemas.microsoft.com/office/excel/2006/main">
          <x14:cfRule type="dataBar" id="{B315E3A3-0B65-4FAB-907D-0C31306FF05B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H5</xm:sqref>
        </x14:conditionalFormatting>
        <x14:conditionalFormatting xmlns:xm="http://schemas.microsoft.com/office/excel/2006/main">
          <x14:cfRule type="dataBar" id="{51D12BDF-9CAB-4F19-A75A-022502C434C1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H6</xm:sqref>
        </x14:conditionalFormatting>
        <x14:conditionalFormatting xmlns:xm="http://schemas.microsoft.com/office/excel/2006/main">
          <x14:cfRule type="dataBar" id="{FFAEC6CF-F89A-45C4-9C11-2BABC19F756C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CC150CAC-6B23-4993-A972-4479534638D7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359EEA9D-0E0D-4B86-9C25-8253895DAE6A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R5</xm:sqref>
        </x14:conditionalFormatting>
        <x14:conditionalFormatting xmlns:xm="http://schemas.microsoft.com/office/excel/2006/main">
          <x14:cfRule type="dataBar" id="{4B3B077B-6868-425E-8D9B-B49B8F0FFDD8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R6</xm:sqref>
        </x14:conditionalFormatting>
        <x14:conditionalFormatting xmlns:xm="http://schemas.microsoft.com/office/excel/2006/main">
          <x14:cfRule type="dataBar" id="{5DD531D4-F012-4059-9B64-83788DD5769D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D556EF94-F7C7-4C9D-9580-4F6B2E868ABB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43E59023-4BEA-45F0-B1F8-B6951130FF4A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C6</xm:sqref>
        </x14:conditionalFormatting>
        <x14:conditionalFormatting xmlns:xm="http://schemas.microsoft.com/office/excel/2006/main">
          <x14:cfRule type="dataBar" id="{49C630AF-4A8D-420E-8E4B-C3EB8841CE7E}">
            <x14:dataBar minLength="0" maxLength="100" gradient="0">
              <x14:cfvo type="autoMin"/>
              <x14:cfvo type="autoMax"/>
              <x14:negativeFillColor rgb="FFF4B084"/>
              <x14:axisColor rgb="FF000000"/>
            </x14:dataBar>
          </x14:cfRule>
          <xm:sqref>C7</xm:sqref>
        </x14:conditionalFormatting>
        <x14:conditionalFormatting xmlns:xm="http://schemas.microsoft.com/office/excel/2006/main">
          <x14:cfRule type="dataBar" id="{37A2A44F-3095-4004-8E93-DC8C040ADBE5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C8</xm:sqref>
        </x14:conditionalFormatting>
        <x14:conditionalFormatting xmlns:xm="http://schemas.microsoft.com/office/excel/2006/main">
          <x14:cfRule type="dataBar" id="{5942472C-7381-4156-A284-E7725E5A231F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4F1E7B1F-A09D-4362-8A95-E86CFC959A22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8BDF2772-F029-4279-935A-D88C1837FB7E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C9</xm:sqref>
        </x14:conditionalFormatting>
        <x14:conditionalFormatting xmlns:xm="http://schemas.microsoft.com/office/excel/2006/main">
          <x14:cfRule type="dataBar" id="{114C9963-31CA-4D11-8DCE-D6BB428091C4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H9</xm:sqref>
        </x14:conditionalFormatting>
        <x14:conditionalFormatting xmlns:xm="http://schemas.microsoft.com/office/excel/2006/main">
          <x14:cfRule type="dataBar" id="{B81082C6-ABC5-4360-B18D-B66A791142BC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R9</xm:sqref>
        </x14:conditionalFormatting>
        <x14:conditionalFormatting xmlns:xm="http://schemas.microsoft.com/office/excel/2006/main">
          <x14:cfRule type="dataBar" id="{E0F4A5E7-AAE5-4AF5-AF7E-0A33BE7A6FF4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0E291CC8-BFFE-4FE8-8AF0-5E909FF25DFD}">
            <x14:dataBar minLength="0" maxLength="100" gradient="0">
              <x14:cfvo type="autoMin"/>
              <x14:cfvo type="autoMax"/>
              <x14:negativeFillColor rgb="FFF4B084"/>
              <x14:axisColor rgb="FF000000"/>
            </x14:dataBar>
          </x14:cfRule>
          <xm:sqref>H7</xm:sqref>
        </x14:conditionalFormatting>
        <x14:conditionalFormatting xmlns:xm="http://schemas.microsoft.com/office/excel/2006/main">
          <x14:cfRule type="dataBar" id="{651EEB48-7823-4B11-BC33-4E23D8B557EE}">
            <x14:dataBar minLength="0" maxLength="100" gradient="0">
              <x14:cfvo type="autoMin"/>
              <x14:cfvo type="autoMax"/>
              <x14:negativeFillColor rgb="FFF4B084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EC0B6BE5-C738-4789-84FF-D94F7912B0FC}">
            <x14:dataBar minLength="0" maxLength="100" gradient="0">
              <x14:cfvo type="autoMin"/>
              <x14:cfvo type="autoMax"/>
              <x14:negativeFillColor rgb="FFF4B084"/>
              <x14:axisColor rgb="FF000000"/>
            </x14:dataBar>
          </x14:cfRule>
          <xm:sqref>R7</xm:sqref>
        </x14:conditionalFormatting>
        <x14:conditionalFormatting xmlns:xm="http://schemas.microsoft.com/office/excel/2006/main">
          <x14:cfRule type="dataBar" id="{0D398518-FBB6-4F33-99B7-557494B6A746}">
            <x14:dataBar minLength="0" maxLength="100" gradient="0">
              <x14:cfvo type="autoMin"/>
              <x14:cfvo type="autoMax"/>
              <x14:negativeFillColor rgb="FFF4B084"/>
              <x14:axisColor rgb="FF000000"/>
            </x14:dataBar>
          </x14:cfRule>
          <xm:sqref>W7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D282AA-8279-4A1F-8443-38F35DD37AD6}">
  <sheetPr codeName="Sheet8"/>
  <dimension ref="A1:T29"/>
  <sheetViews>
    <sheetView showGridLines="0" zoomScale="145" zoomScaleNormal="145" workbookViewId="0">
      <selection activeCell="B12" sqref="B12"/>
    </sheetView>
  </sheetViews>
  <sheetFormatPr defaultColWidth="8.77734375" defaultRowHeight="13.8" x14ac:dyDescent="0.25"/>
  <cols>
    <col min="1" max="1" width="7.77734375" style="15" bestFit="1" customWidth="1"/>
    <col min="2" max="3" width="8.33203125" style="15" customWidth="1"/>
    <col min="4" max="4" width="0.6640625" style="15" customWidth="1"/>
    <col min="5" max="5" width="6.5546875" style="15" bestFit="1" customWidth="1"/>
    <col min="6" max="6" width="8.21875" style="15" bestFit="1" customWidth="1"/>
    <col min="7" max="7" width="7.21875" style="15" bestFit="1" customWidth="1"/>
    <col min="8" max="8" width="0.6640625" style="15" customWidth="1"/>
    <col min="9" max="9" width="6.5546875" style="15" bestFit="1" customWidth="1"/>
    <col min="10" max="10" width="8.6640625" style="15" bestFit="1" customWidth="1"/>
    <col min="11" max="11" width="7.5546875" style="15" bestFit="1" customWidth="1"/>
    <col min="12" max="12" width="0.6640625" style="15" customWidth="1"/>
    <col min="13" max="13" width="6.5546875" style="15" bestFit="1" customWidth="1"/>
    <col min="14" max="14" width="9.33203125" style="15" bestFit="1" customWidth="1"/>
    <col min="15" max="15" width="7.5546875" style="15" bestFit="1" customWidth="1"/>
    <col min="16" max="16" width="0.6640625" style="15" customWidth="1"/>
    <col min="17" max="17" width="6.5546875" style="15" bestFit="1" customWidth="1"/>
    <col min="18" max="18" width="8.21875" style="15" bestFit="1" customWidth="1"/>
    <col min="19" max="19" width="7.5546875" style="15" bestFit="1" customWidth="1"/>
    <col min="20" max="16384" width="8.77734375" style="15"/>
  </cols>
  <sheetData>
    <row r="1" spans="1:20" x14ac:dyDescent="0.25">
      <c r="A1" s="134" t="s">
        <v>39</v>
      </c>
      <c r="B1" s="134"/>
      <c r="C1" s="134"/>
      <c r="E1" s="134" t="s">
        <v>40</v>
      </c>
      <c r="F1" s="134"/>
      <c r="G1" s="134"/>
      <c r="I1" s="134" t="s">
        <v>41</v>
      </c>
      <c r="J1" s="134"/>
      <c r="K1" s="134"/>
      <c r="M1" s="134" t="s">
        <v>42</v>
      </c>
      <c r="N1" s="134"/>
      <c r="O1" s="134"/>
      <c r="Q1" s="134" t="s">
        <v>43</v>
      </c>
      <c r="R1" s="134"/>
      <c r="S1" s="134"/>
    </row>
    <row r="2" spans="1:20" x14ac:dyDescent="0.25">
      <c r="A2" s="174" t="s">
        <v>31</v>
      </c>
      <c r="B2" s="174"/>
      <c r="C2" s="174"/>
      <c r="E2" s="174" t="s">
        <v>31</v>
      </c>
      <c r="F2" s="174"/>
      <c r="G2" s="174"/>
      <c r="I2" s="174" t="s">
        <v>31</v>
      </c>
      <c r="J2" s="174"/>
      <c r="K2" s="174"/>
      <c r="M2" s="174" t="s">
        <v>31</v>
      </c>
      <c r="N2" s="174"/>
      <c r="O2" s="174"/>
      <c r="Q2" s="174" t="s">
        <v>31</v>
      </c>
      <c r="R2" s="174"/>
      <c r="S2" s="174"/>
    </row>
    <row r="3" spans="1:20" x14ac:dyDescent="0.25">
      <c r="A3" s="10">
        <v>46143</v>
      </c>
      <c r="B3" s="32" t="s">
        <v>1</v>
      </c>
      <c r="C3" s="32" t="s">
        <v>3</v>
      </c>
      <c r="E3" s="10">
        <f>A3</f>
        <v>46143</v>
      </c>
      <c r="F3" s="32" t="s">
        <v>1</v>
      </c>
      <c r="G3" s="32" t="s">
        <v>3</v>
      </c>
      <c r="I3" s="10">
        <f>E3</f>
        <v>46143</v>
      </c>
      <c r="J3" s="32" t="s">
        <v>1</v>
      </c>
      <c r="K3" s="32" t="s">
        <v>3</v>
      </c>
      <c r="M3" s="10">
        <f>I3</f>
        <v>46143</v>
      </c>
      <c r="N3" s="32" t="s">
        <v>1</v>
      </c>
      <c r="O3" s="32" t="s">
        <v>3</v>
      </c>
      <c r="Q3" s="10">
        <f>M3</f>
        <v>46143</v>
      </c>
      <c r="R3" s="32" t="s">
        <v>1</v>
      </c>
      <c r="S3" s="32" t="s">
        <v>3</v>
      </c>
    </row>
    <row r="4" spans="1:20" x14ac:dyDescent="0.25">
      <c r="A4" s="1" t="s">
        <v>32</v>
      </c>
      <c r="B4" s="113">
        <f>'[38]PREMI ASJI'!$B$17/1000</f>
        <v>6165.7395831400017</v>
      </c>
      <c r="C4" s="25">
        <f>'[38]PREMI ASJI'!$B$17/'[38]PREMI ASJI'!$E$17-1</f>
        <v>0.56689315235530979</v>
      </c>
      <c r="D4" s="23"/>
      <c r="E4" s="1" t="s">
        <v>32</v>
      </c>
      <c r="F4" s="113">
        <f>'[38]PREMI ASJI'!$B$14/1000</f>
        <v>158.71142523</v>
      </c>
      <c r="G4" s="25">
        <f>'[38]PREMI ASJI'!$B$14/'[38]PREMI ASJI'!$E$14-1</f>
        <v>-4.4200265329505717E-2</v>
      </c>
      <c r="H4" s="23"/>
      <c r="I4" s="1" t="s">
        <v>32</v>
      </c>
      <c r="J4" s="113">
        <f>'[38]PREMI ASJI'!$B$15/1000</f>
        <v>987.34213175999992</v>
      </c>
      <c r="K4" s="25">
        <f>'[38]PREMI ASJI'!$B$15/'[38]PREMI ASJI'!$E$15-1</f>
        <v>0.39539900884336432</v>
      </c>
      <c r="L4" s="23"/>
      <c r="M4" s="1" t="s">
        <v>32</v>
      </c>
      <c r="N4" s="113">
        <f>'[38]PREMI ASJI'!$B$16/1000</f>
        <v>255.43292374999999</v>
      </c>
      <c r="O4" s="25">
        <f>'[38]PREMI ASJI'!$B$16/'[38]PREMI ASJI'!$E$16-1</f>
        <v>0.66634495130732785</v>
      </c>
      <c r="P4" s="23"/>
      <c r="Q4" s="1" t="s">
        <v>32</v>
      </c>
      <c r="R4" s="113">
        <f>'[38]PREMI ASJI'!$B$13/1000</f>
        <v>820.79428657999995</v>
      </c>
      <c r="S4" s="25">
        <f>'[38]PREMI ASJI'!$B$13/'[38]PREMI ASJI'!$E$13-1</f>
        <v>0.50946818991173726</v>
      </c>
      <c r="T4" s="23">
        <v>436.42616341000002</v>
      </c>
    </row>
    <row r="5" spans="1:20" x14ac:dyDescent="0.25">
      <c r="A5" s="1" t="s">
        <v>33</v>
      </c>
      <c r="B5" s="113">
        <f>'[38]KLAIM ASJI'!$B$17/1000</f>
        <v>4592.7574787800004</v>
      </c>
      <c r="C5" s="25">
        <f>'[38]KLAIM ASJI'!$B$17/'[38]KLAIM ASJI'!$E$17-1</f>
        <v>0.75314789962232354</v>
      </c>
      <c r="D5" s="23"/>
      <c r="E5" s="1" t="s">
        <v>33</v>
      </c>
      <c r="F5" s="113">
        <f>'[38]KLAIM ASJI'!$B$14/1000</f>
        <v>130.89123751000002</v>
      </c>
      <c r="G5" s="25">
        <f>'[38]KLAIM ASJI'!$B$14/'[38]KLAIM ASJI'!$E$14-1</f>
        <v>-0.52949578049376267</v>
      </c>
      <c r="H5" s="23"/>
      <c r="I5" s="1" t="s">
        <v>33</v>
      </c>
      <c r="J5" s="113">
        <f>'[38]KLAIM ASJI'!$B$15/1000</f>
        <v>653.05803806999984</v>
      </c>
      <c r="K5" s="25">
        <f>'[38]KLAIM ASJI'!$B$15/'[38]KLAIM ASJI'!$E$15-1</f>
        <v>0.9720100838640513</v>
      </c>
      <c r="L5" s="23"/>
      <c r="M5" s="1" t="s">
        <v>33</v>
      </c>
      <c r="N5" s="113">
        <f>'[38]KLAIM ASJI'!$B$16/1000</f>
        <v>171.49104178999997</v>
      </c>
      <c r="O5" s="25">
        <f>'[38]KLAIM ASJI'!$B$16/'[38]KLAIM ASJI'!$E$16-1</f>
        <v>0.25393328413424721</v>
      </c>
      <c r="P5" s="23"/>
      <c r="Q5" s="1" t="s">
        <v>33</v>
      </c>
      <c r="R5" s="113">
        <f>'[38]KLAIM ASJI'!$B$13/1000</f>
        <v>481.26308649000003</v>
      </c>
      <c r="S5" s="25">
        <f>'[38]KLAIM ASJI'!$B$13/'[38]KLAIM ASJI'!$E$13-1</f>
        <v>0.61111458722726519</v>
      </c>
      <c r="T5" s="23">
        <v>422.42753261000001</v>
      </c>
    </row>
    <row r="6" spans="1:20" x14ac:dyDescent="0.25">
      <c r="A6" s="174" t="s">
        <v>34</v>
      </c>
      <c r="B6" s="174"/>
      <c r="C6" s="174"/>
      <c r="E6" s="174" t="s">
        <v>34</v>
      </c>
      <c r="F6" s="174"/>
      <c r="G6" s="174"/>
      <c r="I6" s="175" t="s">
        <v>34</v>
      </c>
      <c r="J6" s="176"/>
      <c r="K6" s="177"/>
      <c r="M6" s="175" t="s">
        <v>34</v>
      </c>
      <c r="N6" s="176"/>
      <c r="O6" s="177"/>
      <c r="Q6" s="174" t="s">
        <v>34</v>
      </c>
      <c r="R6" s="174"/>
      <c r="S6" s="174"/>
    </row>
    <row r="7" spans="1:20" x14ac:dyDescent="0.25">
      <c r="A7" s="10">
        <f>A3</f>
        <v>46143</v>
      </c>
      <c r="B7" s="32" t="s">
        <v>1</v>
      </c>
      <c r="C7" s="32" t="s">
        <v>3</v>
      </c>
      <c r="E7" s="10">
        <f>E3</f>
        <v>46143</v>
      </c>
      <c r="F7" s="32" t="s">
        <v>1</v>
      </c>
      <c r="G7" s="32" t="s">
        <v>3</v>
      </c>
      <c r="I7" s="10">
        <f>I3</f>
        <v>46143</v>
      </c>
      <c r="J7" s="32" t="s">
        <v>1</v>
      </c>
      <c r="K7" s="32" t="s">
        <v>3</v>
      </c>
      <c r="M7" s="10">
        <f>M3</f>
        <v>46143</v>
      </c>
      <c r="N7" s="32" t="s">
        <v>1</v>
      </c>
      <c r="O7" s="32" t="s">
        <v>3</v>
      </c>
      <c r="Q7" s="10">
        <f>Q3</f>
        <v>46143</v>
      </c>
      <c r="R7" s="32" t="s">
        <v>1</v>
      </c>
      <c r="S7" s="32" t="s">
        <v>3</v>
      </c>
    </row>
    <row r="8" spans="1:20" x14ac:dyDescent="0.25">
      <c r="A8" s="1" t="s">
        <v>32</v>
      </c>
      <c r="B8" s="113">
        <f>'[38]PREMI ASUM'!$B$17/1000</f>
        <v>937.35767670000007</v>
      </c>
      <c r="C8" s="25">
        <f>'[38]PREMI ASUM'!$B$17/'[38]PREMI ASUM'!$E$17-1</f>
        <v>2.2539878148040371E-2</v>
      </c>
      <c r="D8" s="23"/>
      <c r="E8" s="1" t="s">
        <v>32</v>
      </c>
      <c r="F8" s="113">
        <f>'[38]PREMI ASUM'!$B$14/1000</f>
        <v>73.728609160000019</v>
      </c>
      <c r="G8" s="25">
        <f>'[38]PREMI ASUM'!$B$14/'[38]PREMI ASUM'!$E$14-1</f>
        <v>0.31092801056293973</v>
      </c>
      <c r="H8" s="23"/>
      <c r="I8" s="1" t="s">
        <v>32</v>
      </c>
      <c r="J8" s="113">
        <f>'[38]PREMI ASUM'!$B$15/1000</f>
        <v>1177.89513377</v>
      </c>
      <c r="K8" s="25">
        <f>'[38]PREMI ASUM'!$B$15/'[38]PREMI ASUM'!$E$15-1</f>
        <v>0.16490186394648321</v>
      </c>
      <c r="L8" s="23"/>
      <c r="M8" s="1" t="s">
        <v>32</v>
      </c>
      <c r="N8" s="113">
        <f>'[38]PREMI ASUM'!$B$16/1000</f>
        <v>190.90858956000002</v>
      </c>
      <c r="O8" s="25">
        <f>'[38]PREMI ASUM'!$B$16/'[38]PREMI ASUM'!$E$16-1</f>
        <v>0.16683388693508205</v>
      </c>
      <c r="P8" s="23"/>
      <c r="Q8" s="1" t="s">
        <v>32</v>
      </c>
      <c r="R8" s="113">
        <f>'[38]PREMI ASUM'!$B$13/1000</f>
        <v>447.5915584899999</v>
      </c>
      <c r="S8" s="25">
        <f>'[38]PREMI ASUM'!$B$13/'[38]PREMI ASUM'!$E$13-1</f>
        <v>0.10483033060973401</v>
      </c>
      <c r="T8" s="23">
        <v>225.90798785000001</v>
      </c>
    </row>
    <row r="9" spans="1:20" x14ac:dyDescent="0.25">
      <c r="A9" s="1" t="s">
        <v>33</v>
      </c>
      <c r="B9" s="113">
        <f>'[38]KLAIM ASUM'!$B$17/1000</f>
        <v>694.10981957999979</v>
      </c>
      <c r="C9" s="25">
        <f>'[38]KLAIM ASUM'!$B$17/'[38]KLAIM ASUM'!$E$17-1</f>
        <v>0.56207337659962908</v>
      </c>
      <c r="D9" s="23"/>
      <c r="E9" s="1" t="s">
        <v>33</v>
      </c>
      <c r="F9" s="113">
        <f>'[38]KLAIM ASUM'!$B$14/1000</f>
        <v>380.33240560000002</v>
      </c>
      <c r="G9" s="25">
        <f>'[38]KLAIM ASUM'!$B$14/'[38]KLAIM ASUM'!$E$14-1</f>
        <v>0.94951968317668789</v>
      </c>
      <c r="H9" s="23"/>
      <c r="I9" s="1" t="s">
        <v>33</v>
      </c>
      <c r="J9" s="113">
        <f>'[38]KLAIM ASUM'!$B$15/1000</f>
        <v>147.49380028000002</v>
      </c>
      <c r="K9" s="25">
        <f>'[38]KLAIM ASUM'!$B$15/'[38]KLAIM ASUM'!$E$15-1</f>
        <v>-0.20515587316131667</v>
      </c>
      <c r="L9" s="23"/>
      <c r="M9" s="1" t="s">
        <v>33</v>
      </c>
      <c r="N9" s="113">
        <f>'[38]KLAIM ASUM'!$B$16/1000</f>
        <v>145.52418030999999</v>
      </c>
      <c r="O9" s="25">
        <f>'[38]KLAIM ASUM'!$B$16/'[38]KLAIM ASUM'!$E$16-1</f>
        <v>-7.6106134811619652E-2</v>
      </c>
      <c r="P9" s="23"/>
      <c r="Q9" s="1" t="s">
        <v>33</v>
      </c>
      <c r="R9" s="113">
        <f>'[38]KLAIM ASUM'!$B$13/1000</f>
        <v>209.49689299999997</v>
      </c>
      <c r="S9" s="25">
        <f>'[38]KLAIM ASUM'!$B$13/'[38]KLAIM ASUM'!$E$13-1</f>
        <v>1.1100935465317252</v>
      </c>
      <c r="T9" s="23">
        <v>56.931195979999998</v>
      </c>
    </row>
    <row r="10" spans="1:20" x14ac:dyDescent="0.25">
      <c r="A10" s="174" t="s">
        <v>48</v>
      </c>
      <c r="B10" s="174"/>
      <c r="C10" s="174"/>
      <c r="E10" s="174" t="s">
        <v>48</v>
      </c>
      <c r="F10" s="174"/>
      <c r="G10" s="174"/>
      <c r="I10" s="174" t="s">
        <v>48</v>
      </c>
      <c r="J10" s="174"/>
      <c r="K10" s="174"/>
      <c r="M10" s="174" t="s">
        <v>48</v>
      </c>
      <c r="N10" s="174"/>
      <c r="O10" s="174"/>
      <c r="Q10" s="174" t="s">
        <v>48</v>
      </c>
      <c r="R10" s="174"/>
      <c r="S10" s="174"/>
    </row>
    <row r="11" spans="1:20" x14ac:dyDescent="0.25">
      <c r="A11" s="171">
        <v>46204</v>
      </c>
      <c r="B11" s="29" t="s">
        <v>1</v>
      </c>
      <c r="C11" s="29" t="s">
        <v>3</v>
      </c>
      <c r="E11" s="171">
        <f>A11</f>
        <v>46204</v>
      </c>
      <c r="F11" s="32" t="s">
        <v>1</v>
      </c>
      <c r="G11" s="32" t="s">
        <v>3</v>
      </c>
      <c r="I11" s="171">
        <f>E11</f>
        <v>46204</v>
      </c>
      <c r="J11" s="32" t="s">
        <v>1</v>
      </c>
      <c r="K11" s="32" t="s">
        <v>3</v>
      </c>
      <c r="M11" s="173">
        <f>I11</f>
        <v>46204</v>
      </c>
      <c r="N11" s="32" t="s">
        <v>1</v>
      </c>
      <c r="O11" s="32" t="s">
        <v>3</v>
      </c>
      <c r="Q11" s="173">
        <f>M11</f>
        <v>46204</v>
      </c>
      <c r="R11" s="32" t="s">
        <v>1</v>
      </c>
      <c r="S11" s="32" t="s">
        <v>3</v>
      </c>
    </row>
    <row r="12" spans="1:20" x14ac:dyDescent="0.25">
      <c r="A12" s="172"/>
      <c r="B12" s="113">
        <f>[39]Data!$D$9/1000000000</f>
        <v>1287.9277788930001</v>
      </c>
      <c r="C12" s="25">
        <f>[39]Data!$D$9/[39]Data!$C$9-1</f>
        <v>1.9636391492724004E-2</v>
      </c>
      <c r="E12" s="172"/>
      <c r="F12" s="113">
        <f>[39]Data!$J$9/1000000000</f>
        <v>1051.4122290370001</v>
      </c>
      <c r="G12" s="25">
        <f>[39]Data!$J$9/[39]Data!$I$9-1</f>
        <v>7.1373442622371774E-2</v>
      </c>
      <c r="I12" s="172"/>
      <c r="J12" s="113">
        <f>[39]Data!$H$9/1000000000</f>
        <v>466.49486665199998</v>
      </c>
      <c r="K12" s="25">
        <f>[39]Data!$H$9/[39]Data!$G$9-1</f>
        <v>1.3277796684025844E-3</v>
      </c>
      <c r="M12" s="173"/>
      <c r="N12" s="113">
        <f>[39]Data!$F$9/1000000000</f>
        <v>2687.6927267142996</v>
      </c>
      <c r="O12" s="25">
        <f>[39]Data!$F$9/[39]Data!$E$9-1</f>
        <v>5.0800287050909443E-2</v>
      </c>
      <c r="Q12" s="173"/>
      <c r="R12" s="30" t="s">
        <v>57</v>
      </c>
      <c r="S12" s="30" t="s">
        <v>57</v>
      </c>
    </row>
    <row r="13" spans="1:20" x14ac:dyDescent="0.25">
      <c r="A13" s="174" t="s">
        <v>56</v>
      </c>
      <c r="B13" s="174"/>
      <c r="C13" s="174"/>
      <c r="E13" s="174" t="s">
        <v>56</v>
      </c>
      <c r="F13" s="174"/>
      <c r="G13" s="174"/>
      <c r="I13" s="174" t="s">
        <v>56</v>
      </c>
      <c r="J13" s="174"/>
      <c r="K13" s="174"/>
      <c r="M13" s="174" t="s">
        <v>56</v>
      </c>
      <c r="N13" s="174"/>
      <c r="O13" s="174"/>
      <c r="Q13" s="178" t="s">
        <v>56</v>
      </c>
      <c r="R13" s="174"/>
      <c r="S13" s="174"/>
    </row>
    <row r="14" spans="1:20" x14ac:dyDescent="0.25">
      <c r="A14" s="171">
        <v>46174</v>
      </c>
      <c r="B14" s="29" t="s">
        <v>1</v>
      </c>
      <c r="C14" s="29" t="s">
        <v>3</v>
      </c>
      <c r="E14" s="171">
        <f>A14</f>
        <v>46174</v>
      </c>
      <c r="F14" s="29" t="s">
        <v>1</v>
      </c>
      <c r="G14" s="29" t="s">
        <v>3</v>
      </c>
      <c r="I14" s="171">
        <f>E14</f>
        <v>46174</v>
      </c>
      <c r="J14" s="29" t="s">
        <v>1</v>
      </c>
      <c r="K14" s="29" t="s">
        <v>3</v>
      </c>
      <c r="M14" s="173">
        <f>I14</f>
        <v>46174</v>
      </c>
      <c r="N14" s="29" t="s">
        <v>1</v>
      </c>
      <c r="O14" s="29" t="s">
        <v>3</v>
      </c>
      <c r="Q14" s="173">
        <f>M14</f>
        <v>46174</v>
      </c>
      <c r="R14" s="29" t="s">
        <v>1</v>
      </c>
      <c r="S14" s="29" t="s">
        <v>3</v>
      </c>
    </row>
    <row r="15" spans="1:20" x14ac:dyDescent="0.25">
      <c r="A15" s="172"/>
      <c r="B15" s="30" t="s">
        <v>57</v>
      </c>
      <c r="C15" s="30" t="s">
        <v>57</v>
      </c>
      <c r="E15" s="172"/>
      <c r="F15" s="30" t="s">
        <v>57</v>
      </c>
      <c r="G15" s="30" t="s">
        <v>57</v>
      </c>
      <c r="I15" s="172"/>
      <c r="J15" s="7">
        <f>[40]Data!$C$20/1000000000</f>
        <v>4132.5970325939998</v>
      </c>
      <c r="K15" s="25">
        <f>[40]Data!$C$20/[40]Data!$B$20-1</f>
        <v>1.3458002636017952</v>
      </c>
      <c r="M15" s="173"/>
      <c r="N15" s="7">
        <f>[40]Data!$C$19/1000000000</f>
        <v>2985.7522891550002</v>
      </c>
      <c r="O15" s="25">
        <f>[40]Data!$C$19/[40]Data!$B$19-1</f>
        <v>-0.37140798657961993</v>
      </c>
      <c r="Q15" s="173"/>
      <c r="R15" s="30" t="s">
        <v>57</v>
      </c>
      <c r="S15" s="30" t="s">
        <v>57</v>
      </c>
    </row>
    <row r="16" spans="1:20" x14ac:dyDescent="0.25">
      <c r="B16" s="72"/>
    </row>
    <row r="17" spans="2:18" x14ac:dyDescent="0.25">
      <c r="B17" s="72">
        <f>B4/(C4+1)</f>
        <v>3935.0095913507794</v>
      </c>
      <c r="F17" s="72">
        <f>F4/(G4+1)</f>
        <v>166.05091994999844</v>
      </c>
      <c r="J17" s="72">
        <f>J4/(K4+1)</f>
        <v>707.56975281099017</v>
      </c>
      <c r="N17" s="72">
        <f>N4/(O4+1)</f>
        <v>153.28934357174998</v>
      </c>
      <c r="R17" s="72">
        <f>R4/(S4+1)</f>
        <v>543.76388456917005</v>
      </c>
    </row>
    <row r="18" spans="2:18" x14ac:dyDescent="0.25">
      <c r="B18" s="72">
        <f t="shared" ref="B18:B27" si="0">B5/(C5+1)</f>
        <v>2619.7204923608597</v>
      </c>
      <c r="F18" s="72">
        <f t="shared" ref="F18:F27" si="1">F5/(G5+1)</f>
        <v>278.19354658999998</v>
      </c>
      <c r="J18" s="72">
        <f t="shared" ref="J18:J27" si="2">J5/(K5+1)</f>
        <v>331.16364029456003</v>
      </c>
      <c r="N18" s="72">
        <f t="shared" ref="N18:N27" si="3">N5/(O5+1)</f>
        <v>136.76249283740998</v>
      </c>
      <c r="R18" s="72">
        <f t="shared" ref="R18:R27" si="4">R5/(S5+1)</f>
        <v>298.71437469774003</v>
      </c>
    </row>
    <row r="19" spans="2:18" x14ac:dyDescent="0.25">
      <c r="B19" s="72">
        <f t="shared" si="0"/>
        <v>0</v>
      </c>
      <c r="F19" s="72">
        <f t="shared" si="1"/>
        <v>0</v>
      </c>
      <c r="J19" s="72">
        <f t="shared" si="2"/>
        <v>0</v>
      </c>
      <c r="N19" s="72">
        <f t="shared" si="3"/>
        <v>0</v>
      </c>
      <c r="R19" s="72">
        <f t="shared" si="4"/>
        <v>0</v>
      </c>
    </row>
    <row r="20" spans="2:18" x14ac:dyDescent="0.25">
      <c r="B20" s="72" t="e">
        <f t="shared" si="0"/>
        <v>#VALUE!</v>
      </c>
      <c r="F20" s="72" t="e">
        <f t="shared" si="1"/>
        <v>#VALUE!</v>
      </c>
      <c r="J20" s="72" t="e">
        <f t="shared" si="2"/>
        <v>#VALUE!</v>
      </c>
      <c r="N20" s="72" t="e">
        <f t="shared" si="3"/>
        <v>#VALUE!</v>
      </c>
      <c r="R20" s="72" t="e">
        <f t="shared" si="4"/>
        <v>#VALUE!</v>
      </c>
    </row>
    <row r="21" spans="2:18" s="115" customFormat="1" x14ac:dyDescent="0.25">
      <c r="B21" s="114">
        <f>B8/(C8+1)</f>
        <v>916.69547245207013</v>
      </c>
      <c r="F21" s="114">
        <f t="shared" si="1"/>
        <v>56.241539250000024</v>
      </c>
      <c r="J21" s="114">
        <f t="shared" si="2"/>
        <v>1011.1539608834498</v>
      </c>
      <c r="N21" s="114">
        <f t="shared" si="3"/>
        <v>163.61248305999996</v>
      </c>
      <c r="R21" s="114">
        <f t="shared" si="4"/>
        <v>405.12243924638</v>
      </c>
    </row>
    <row r="22" spans="2:18" s="115" customFormat="1" x14ac:dyDescent="0.25">
      <c r="B22" s="114">
        <f t="shared" si="0"/>
        <v>444.35160983983997</v>
      </c>
      <c r="F22" s="114">
        <f t="shared" si="1"/>
        <v>195.09031321000001</v>
      </c>
      <c r="J22" s="114">
        <f t="shared" si="2"/>
        <v>185.56317559598003</v>
      </c>
      <c r="M22" s="116"/>
      <c r="N22" s="114">
        <f t="shared" si="3"/>
        <v>157.51179414999999</v>
      </c>
      <c r="R22" s="114">
        <f t="shared" si="4"/>
        <v>99.283225307399988</v>
      </c>
    </row>
    <row r="23" spans="2:18" x14ac:dyDescent="0.25">
      <c r="B23" s="72">
        <f t="shared" si="0"/>
        <v>0</v>
      </c>
      <c r="F23" s="72">
        <f t="shared" si="1"/>
        <v>0</v>
      </c>
      <c r="J23" s="72">
        <f t="shared" si="2"/>
        <v>0</v>
      </c>
      <c r="N23" s="72">
        <f t="shared" si="3"/>
        <v>0</v>
      </c>
      <c r="R23" s="72">
        <f t="shared" si="4"/>
        <v>0</v>
      </c>
    </row>
    <row r="24" spans="2:18" x14ac:dyDescent="0.25">
      <c r="B24" s="72" t="e">
        <f t="shared" si="0"/>
        <v>#VALUE!</v>
      </c>
      <c r="F24" s="72" t="e">
        <f t="shared" si="1"/>
        <v>#VALUE!</v>
      </c>
      <c r="J24" s="72" t="e">
        <f t="shared" si="2"/>
        <v>#VALUE!</v>
      </c>
      <c r="N24" s="72" t="e">
        <f t="shared" si="3"/>
        <v>#VALUE!</v>
      </c>
      <c r="R24" s="72" t="e">
        <f t="shared" si="4"/>
        <v>#VALUE!</v>
      </c>
    </row>
    <row r="25" spans="2:18" x14ac:dyDescent="0.25">
      <c r="B25" s="111">
        <f>B12/(C12+1)</f>
        <v>1263.1245703259999</v>
      </c>
      <c r="C25" s="111"/>
      <c r="D25" s="111"/>
      <c r="E25" s="111"/>
      <c r="F25" s="111">
        <f t="shared" si="1"/>
        <v>981.36857533400007</v>
      </c>
      <c r="G25" s="111"/>
      <c r="H25" s="111"/>
      <c r="I25" s="111"/>
      <c r="J25" s="111">
        <f t="shared" si="2"/>
        <v>465.87628559199999</v>
      </c>
      <c r="K25" s="111"/>
      <c r="L25" s="111"/>
      <c r="M25" s="111"/>
      <c r="N25" s="111">
        <f t="shared" si="3"/>
        <v>2557.7578916135999</v>
      </c>
      <c r="O25" s="111"/>
      <c r="P25" s="111"/>
      <c r="Q25" s="111"/>
      <c r="R25" s="111" t="e">
        <f t="shared" si="4"/>
        <v>#VALUE!</v>
      </c>
    </row>
    <row r="26" spans="2:18" x14ac:dyDescent="0.25">
      <c r="B26" s="72">
        <f t="shared" si="0"/>
        <v>0</v>
      </c>
      <c r="F26" s="72">
        <f t="shared" si="1"/>
        <v>0</v>
      </c>
      <c r="J26" s="72">
        <f t="shared" si="2"/>
        <v>0</v>
      </c>
      <c r="N26" s="72">
        <f t="shared" si="3"/>
        <v>0</v>
      </c>
      <c r="R26" s="72">
        <f t="shared" si="4"/>
        <v>0</v>
      </c>
    </row>
    <row r="27" spans="2:18" x14ac:dyDescent="0.25">
      <c r="B27" s="72" t="e">
        <f t="shared" si="0"/>
        <v>#VALUE!</v>
      </c>
      <c r="F27" s="72" t="e">
        <f t="shared" si="1"/>
        <v>#VALUE!</v>
      </c>
      <c r="J27" s="72" t="e">
        <f t="shared" si="2"/>
        <v>#VALUE!</v>
      </c>
      <c r="N27" s="72" t="e">
        <f t="shared" si="3"/>
        <v>#VALUE!</v>
      </c>
      <c r="R27" s="72" t="e">
        <f t="shared" si="4"/>
        <v>#VALUE!</v>
      </c>
    </row>
    <row r="28" spans="2:18" x14ac:dyDescent="0.25">
      <c r="B28" s="72" t="e">
        <f>B15/(C15+1)</f>
        <v>#VALUE!</v>
      </c>
      <c r="F28" s="72" t="e">
        <f>F15/(G15+1)</f>
        <v>#VALUE!</v>
      </c>
      <c r="J28" s="72">
        <f>J15/(K15+1)</f>
        <v>1761.7003019040999</v>
      </c>
      <c r="N28" s="72">
        <f>N15/(O15+1)</f>
        <v>4749.9049071726513</v>
      </c>
      <c r="R28" s="72" t="e">
        <f>R15/(S15+1)</f>
        <v>#VALUE!</v>
      </c>
    </row>
    <row r="29" spans="2:18" x14ac:dyDescent="0.25">
      <c r="B29" s="72"/>
    </row>
  </sheetData>
  <mergeCells count="35">
    <mergeCell ref="M13:O13"/>
    <mergeCell ref="M14:M15"/>
    <mergeCell ref="Q13:S13"/>
    <mergeCell ref="Q14:Q15"/>
    <mergeCell ref="A13:C13"/>
    <mergeCell ref="A14:A15"/>
    <mergeCell ref="E13:G13"/>
    <mergeCell ref="E14:E15"/>
    <mergeCell ref="I13:K13"/>
    <mergeCell ref="I14:I15"/>
    <mergeCell ref="Q1:S1"/>
    <mergeCell ref="Q2:S2"/>
    <mergeCell ref="Q6:S6"/>
    <mergeCell ref="I1:K1"/>
    <mergeCell ref="I2:K2"/>
    <mergeCell ref="I6:K6"/>
    <mergeCell ref="M1:O1"/>
    <mergeCell ref="M2:O2"/>
    <mergeCell ref="M6:O6"/>
    <mergeCell ref="A2:C2"/>
    <mergeCell ref="A6:C6"/>
    <mergeCell ref="A1:C1"/>
    <mergeCell ref="E1:G1"/>
    <mergeCell ref="E2:G2"/>
    <mergeCell ref="E6:G6"/>
    <mergeCell ref="A10:C10"/>
    <mergeCell ref="E10:G10"/>
    <mergeCell ref="I10:K10"/>
    <mergeCell ref="M10:O10"/>
    <mergeCell ref="Q10:S10"/>
    <mergeCell ref="A11:A12"/>
    <mergeCell ref="E11:E12"/>
    <mergeCell ref="I11:I12"/>
    <mergeCell ref="M11:M12"/>
    <mergeCell ref="Q11:Q12"/>
  </mergeCells>
  <conditionalFormatting sqref="C12">
    <cfRule type="dataBar" priority="9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{C2D31DC2-2F38-4436-94F8-B0E8AF9735D7}</x14:id>
        </ext>
      </extLst>
    </cfRule>
  </conditionalFormatting>
  <conditionalFormatting sqref="C5">
    <cfRule type="dataBar" priority="93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{C1DF2293-382E-450D-87B6-F47862ADAA55}</x14:id>
        </ext>
      </extLst>
    </cfRule>
  </conditionalFormatting>
  <conditionalFormatting sqref="C4">
    <cfRule type="dataBar" priority="6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{A0F43A49-EEB0-4231-B72B-944E821B8F61}</x14:id>
        </ext>
      </extLst>
    </cfRule>
  </conditionalFormatting>
  <conditionalFormatting sqref="C5">
    <cfRule type="dataBar" priority="63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{E587E6EB-0B50-49E1-A19F-D47CFF001A23}</x14:id>
        </ext>
      </extLst>
    </cfRule>
  </conditionalFormatting>
  <conditionalFormatting sqref="G12">
    <cfRule type="dataBar" priority="32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{D592D428-C779-486E-AE60-7DF949ADEB1A}</x14:id>
        </ext>
      </extLst>
    </cfRule>
  </conditionalFormatting>
  <conditionalFormatting sqref="K12">
    <cfRule type="dataBar" priority="31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{F8248D85-484F-4514-A5C6-E96085DDFE02}</x14:id>
        </ext>
      </extLst>
    </cfRule>
  </conditionalFormatting>
  <conditionalFormatting sqref="O12">
    <cfRule type="dataBar" priority="3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{D7D5ED9A-A666-41CB-89AA-AE00C0791BF6}</x14:id>
        </ext>
      </extLst>
    </cfRule>
  </conditionalFormatting>
  <conditionalFormatting sqref="K15">
    <cfRule type="dataBar" priority="2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{A2C83CDE-A319-4F4F-9649-14B2460285AF}</x14:id>
        </ext>
      </extLst>
    </cfRule>
  </conditionalFormatting>
  <conditionalFormatting sqref="O15">
    <cfRule type="dataBar" priority="2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{C2F387CC-DBA8-4FBE-B3D7-827FC90D9B5F}</x14:id>
        </ext>
      </extLst>
    </cfRule>
  </conditionalFormatting>
  <conditionalFormatting sqref="G4">
    <cfRule type="dataBar" priority="2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{27BA9926-5042-4069-81BA-CEC234191F9B}</x14:id>
        </ext>
      </extLst>
    </cfRule>
  </conditionalFormatting>
  <conditionalFormatting sqref="K4">
    <cfRule type="dataBar" priority="2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{A99C495D-6D14-457B-A080-60E1D6F8F0F6}</x14:id>
        </ext>
      </extLst>
    </cfRule>
  </conditionalFormatting>
  <conditionalFormatting sqref="O4">
    <cfRule type="dataBar" priority="2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{ECBD8A53-8B84-4D13-897D-71B98F192152}</x14:id>
        </ext>
      </extLst>
    </cfRule>
  </conditionalFormatting>
  <conditionalFormatting sqref="S4">
    <cfRule type="dataBar" priority="2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{959DA3A2-714E-494D-AF04-8D79C66FA52B}</x14:id>
        </ext>
      </extLst>
    </cfRule>
  </conditionalFormatting>
  <conditionalFormatting sqref="C8">
    <cfRule type="dataBar" priority="23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{B76D7AC9-12A8-42CB-B329-931945D4D764}</x14:id>
        </ext>
      </extLst>
    </cfRule>
  </conditionalFormatting>
  <conditionalFormatting sqref="G8">
    <cfRule type="dataBar" priority="22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{0F62A1FF-9245-463F-B9BC-38117D90B28A}</x14:id>
        </ext>
      </extLst>
    </cfRule>
  </conditionalFormatting>
  <conditionalFormatting sqref="K8">
    <cfRule type="dataBar" priority="21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{3998EAB6-F00B-4FE4-905C-D5DFDC8FCD42}</x14:id>
        </ext>
      </extLst>
    </cfRule>
  </conditionalFormatting>
  <conditionalFormatting sqref="O8">
    <cfRule type="dataBar" priority="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{1EEA3ED4-F0C5-4C32-9A6C-2031F72293AD}</x14:id>
        </ext>
      </extLst>
    </cfRule>
  </conditionalFormatting>
  <conditionalFormatting sqref="S8">
    <cfRule type="dataBar" priority="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{40DDCF33-F9E5-4458-9DB3-5DEC937B49BD}</x14:id>
        </ext>
      </extLst>
    </cfRule>
  </conditionalFormatting>
  <conditionalFormatting sqref="G5">
    <cfRule type="dataBar" priority="18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{630C03B8-918C-49BB-A5E3-AABBA431E020}</x14:id>
        </ext>
      </extLst>
    </cfRule>
  </conditionalFormatting>
  <conditionalFormatting sqref="G5">
    <cfRule type="dataBar" priority="1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{87A167B8-4495-4ED0-8675-5A87F89003B6}</x14:id>
        </ext>
      </extLst>
    </cfRule>
  </conditionalFormatting>
  <conditionalFormatting sqref="K5">
    <cfRule type="dataBar" priority="16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{77DFD446-CB2E-4210-B691-22FDB5CB2FEC}</x14:id>
        </ext>
      </extLst>
    </cfRule>
  </conditionalFormatting>
  <conditionalFormatting sqref="K5">
    <cfRule type="dataBar" priority="15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{A60D681C-7AAA-4222-A06D-57C3D35F5D6B}</x14:id>
        </ext>
      </extLst>
    </cfRule>
  </conditionalFormatting>
  <conditionalFormatting sqref="O5">
    <cfRule type="dataBar" priority="14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{8E44A0EF-5F5A-4843-9DC1-6DDDD241C26E}</x14:id>
        </ext>
      </extLst>
    </cfRule>
  </conditionalFormatting>
  <conditionalFormatting sqref="O5">
    <cfRule type="dataBar" priority="13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{3CAF5F71-74D5-4E3B-8B39-80E0C087026C}</x14:id>
        </ext>
      </extLst>
    </cfRule>
  </conditionalFormatting>
  <conditionalFormatting sqref="S5">
    <cfRule type="dataBar" priority="1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{CBA4F07B-2A97-4DDA-B27E-EA6BECDB1DFF}</x14:id>
        </ext>
      </extLst>
    </cfRule>
  </conditionalFormatting>
  <conditionalFormatting sqref="S5">
    <cfRule type="dataBar" priority="1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{8C0C5F03-F2E7-4834-B1CE-F3DE16E7CC93}</x14:id>
        </ext>
      </extLst>
    </cfRule>
  </conditionalFormatting>
  <conditionalFormatting sqref="C9">
    <cfRule type="dataBar" priority="10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{E45968AB-0DAF-4C39-9899-9F17B61CEA74}</x14:id>
        </ext>
      </extLst>
    </cfRule>
  </conditionalFormatting>
  <conditionalFormatting sqref="C9">
    <cfRule type="dataBar" priority="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{F4362478-5574-4186-B08B-69DF421CD3A6}</x14:id>
        </ext>
      </extLst>
    </cfRule>
  </conditionalFormatting>
  <conditionalFormatting sqref="G9">
    <cfRule type="dataBar" priority="8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{20CC8566-3E48-45BA-8660-4F6F23BE74DB}</x14:id>
        </ext>
      </extLst>
    </cfRule>
  </conditionalFormatting>
  <conditionalFormatting sqref="G9">
    <cfRule type="dataBar" priority="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{A91DD5D1-60F2-4021-B01C-5DF94A1EC8F0}</x14:id>
        </ext>
      </extLst>
    </cfRule>
  </conditionalFormatting>
  <conditionalFormatting sqref="K9">
    <cfRule type="dataBar" priority="6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{582BFA14-E145-4F9B-9A95-4B28F8CC55C2}</x14:id>
        </ext>
      </extLst>
    </cfRule>
  </conditionalFormatting>
  <conditionalFormatting sqref="K9">
    <cfRule type="dataBar" priority="5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{7A109E94-259D-4D0A-8C6D-14D8A2DB38A2}</x14:id>
        </ext>
      </extLst>
    </cfRule>
  </conditionalFormatting>
  <conditionalFormatting sqref="O9">
    <cfRule type="dataBar" priority="4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{FDED5361-BFD4-465F-93BF-86EC9EB1ED93}</x14:id>
        </ext>
      </extLst>
    </cfRule>
  </conditionalFormatting>
  <conditionalFormatting sqref="O9">
    <cfRule type="dataBar" priority="3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{43CF6471-F51F-49FA-B22D-E1259E0AEC41}</x14:id>
        </ext>
      </extLst>
    </cfRule>
  </conditionalFormatting>
  <conditionalFormatting sqref="S9">
    <cfRule type="dataBar" priority="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{E165E39D-B929-4962-8E0E-68BB2D133589}</x14:id>
        </ext>
      </extLst>
    </cfRule>
  </conditionalFormatting>
  <conditionalFormatting sqref="S9">
    <cfRule type="dataBar" priority="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{5A392B7E-5B0F-4ACD-93BB-CE1B57DC47DF}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2D31DC2-2F38-4436-94F8-B0E8AF9735D7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C12</xm:sqref>
        </x14:conditionalFormatting>
        <x14:conditionalFormatting xmlns:xm="http://schemas.microsoft.com/office/excel/2006/main">
          <x14:cfRule type="dataBar" id="{C1DF2293-382E-450D-87B6-F47862ADAA55}">
            <x14:dataBar minLength="0" maxLength="100" gradient="0">
              <x14:cfvo type="autoMin"/>
              <x14:cfvo type="autoMax"/>
              <x14:negativeFillColor theme="9" tint="0.59999389629810485"/>
              <x14:axisColor rgb="FF000000"/>
            </x14:dataBar>
          </x14:cfRule>
          <xm:sqref>C5</xm:sqref>
        </x14:conditionalFormatting>
        <x14:conditionalFormatting xmlns:xm="http://schemas.microsoft.com/office/excel/2006/main">
          <x14:cfRule type="dataBar" id="{A0F43A49-EEB0-4231-B72B-944E821B8F61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C4</xm:sqref>
        </x14:conditionalFormatting>
        <x14:conditionalFormatting xmlns:xm="http://schemas.microsoft.com/office/excel/2006/main">
          <x14:cfRule type="dataBar" id="{E587E6EB-0B50-49E1-A19F-D47CFF001A23}">
            <x14:dataBar minLength="0" maxLength="100" gradient="0">
              <x14:cfvo type="autoMin"/>
              <x14:cfvo type="autoMax"/>
              <x14:negativeFillColor theme="9" tint="0.59999389629810485"/>
              <x14:axisColor rgb="FF000000"/>
            </x14:dataBar>
          </x14:cfRule>
          <xm:sqref>C5</xm:sqref>
        </x14:conditionalFormatting>
        <x14:conditionalFormatting xmlns:xm="http://schemas.microsoft.com/office/excel/2006/main">
          <x14:cfRule type="dataBar" id="{D592D428-C779-486E-AE60-7DF949ADEB1A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G12</xm:sqref>
        </x14:conditionalFormatting>
        <x14:conditionalFormatting xmlns:xm="http://schemas.microsoft.com/office/excel/2006/main">
          <x14:cfRule type="dataBar" id="{F8248D85-484F-4514-A5C6-E96085DDFE02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K12</xm:sqref>
        </x14:conditionalFormatting>
        <x14:conditionalFormatting xmlns:xm="http://schemas.microsoft.com/office/excel/2006/main">
          <x14:cfRule type="dataBar" id="{D7D5ED9A-A666-41CB-89AA-AE00C0791BF6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O12</xm:sqref>
        </x14:conditionalFormatting>
        <x14:conditionalFormatting xmlns:xm="http://schemas.microsoft.com/office/excel/2006/main">
          <x14:cfRule type="dataBar" id="{A2C83CDE-A319-4F4F-9649-14B2460285AF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K15</xm:sqref>
        </x14:conditionalFormatting>
        <x14:conditionalFormatting xmlns:xm="http://schemas.microsoft.com/office/excel/2006/main">
          <x14:cfRule type="dataBar" id="{C2F387CC-DBA8-4FBE-B3D7-827FC90D9B5F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O15</xm:sqref>
        </x14:conditionalFormatting>
        <x14:conditionalFormatting xmlns:xm="http://schemas.microsoft.com/office/excel/2006/main">
          <x14:cfRule type="dataBar" id="{27BA9926-5042-4069-81BA-CEC234191F9B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G4</xm:sqref>
        </x14:conditionalFormatting>
        <x14:conditionalFormatting xmlns:xm="http://schemas.microsoft.com/office/excel/2006/main">
          <x14:cfRule type="dataBar" id="{A99C495D-6D14-457B-A080-60E1D6F8F0F6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K4</xm:sqref>
        </x14:conditionalFormatting>
        <x14:conditionalFormatting xmlns:xm="http://schemas.microsoft.com/office/excel/2006/main">
          <x14:cfRule type="dataBar" id="{ECBD8A53-8B84-4D13-897D-71B98F192152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O4</xm:sqref>
        </x14:conditionalFormatting>
        <x14:conditionalFormatting xmlns:xm="http://schemas.microsoft.com/office/excel/2006/main">
          <x14:cfRule type="dataBar" id="{959DA3A2-714E-494D-AF04-8D79C66FA52B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S4</xm:sqref>
        </x14:conditionalFormatting>
        <x14:conditionalFormatting xmlns:xm="http://schemas.microsoft.com/office/excel/2006/main">
          <x14:cfRule type="dataBar" id="{B76D7AC9-12A8-42CB-B329-931945D4D764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C8</xm:sqref>
        </x14:conditionalFormatting>
        <x14:conditionalFormatting xmlns:xm="http://schemas.microsoft.com/office/excel/2006/main">
          <x14:cfRule type="dataBar" id="{0F62A1FF-9245-463F-B9BC-38117D90B28A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G8</xm:sqref>
        </x14:conditionalFormatting>
        <x14:conditionalFormatting xmlns:xm="http://schemas.microsoft.com/office/excel/2006/main">
          <x14:cfRule type="dataBar" id="{3998EAB6-F00B-4FE4-905C-D5DFDC8FCD42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K8</xm:sqref>
        </x14:conditionalFormatting>
        <x14:conditionalFormatting xmlns:xm="http://schemas.microsoft.com/office/excel/2006/main">
          <x14:cfRule type="dataBar" id="{1EEA3ED4-F0C5-4C32-9A6C-2031F72293AD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O8</xm:sqref>
        </x14:conditionalFormatting>
        <x14:conditionalFormatting xmlns:xm="http://schemas.microsoft.com/office/excel/2006/main">
          <x14:cfRule type="dataBar" id="{40DDCF33-F9E5-4458-9DB3-5DEC937B49BD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S8</xm:sqref>
        </x14:conditionalFormatting>
        <x14:conditionalFormatting xmlns:xm="http://schemas.microsoft.com/office/excel/2006/main">
          <x14:cfRule type="dataBar" id="{630C03B8-918C-49BB-A5E3-AABBA431E020}">
            <x14:dataBar minLength="0" maxLength="100" gradient="0">
              <x14:cfvo type="autoMin"/>
              <x14:cfvo type="autoMax"/>
              <x14:negativeFillColor theme="9" tint="0.59999389629810485"/>
              <x14:axisColor rgb="FF000000"/>
            </x14:dataBar>
          </x14:cfRule>
          <xm:sqref>G5</xm:sqref>
        </x14:conditionalFormatting>
        <x14:conditionalFormatting xmlns:xm="http://schemas.microsoft.com/office/excel/2006/main">
          <x14:cfRule type="dataBar" id="{87A167B8-4495-4ED0-8675-5A87F89003B6}">
            <x14:dataBar minLength="0" maxLength="100" gradient="0">
              <x14:cfvo type="autoMin"/>
              <x14:cfvo type="autoMax"/>
              <x14:negativeFillColor theme="9" tint="0.59999389629810485"/>
              <x14:axisColor rgb="FF000000"/>
            </x14:dataBar>
          </x14:cfRule>
          <xm:sqref>G5</xm:sqref>
        </x14:conditionalFormatting>
        <x14:conditionalFormatting xmlns:xm="http://schemas.microsoft.com/office/excel/2006/main">
          <x14:cfRule type="dataBar" id="{77DFD446-CB2E-4210-B691-22FDB5CB2FEC}">
            <x14:dataBar minLength="0" maxLength="100" gradient="0">
              <x14:cfvo type="autoMin"/>
              <x14:cfvo type="autoMax"/>
              <x14:negativeFillColor theme="9" tint="0.59999389629810485"/>
              <x14:axisColor rgb="FF000000"/>
            </x14:dataBar>
          </x14:cfRule>
          <xm:sqref>K5</xm:sqref>
        </x14:conditionalFormatting>
        <x14:conditionalFormatting xmlns:xm="http://schemas.microsoft.com/office/excel/2006/main">
          <x14:cfRule type="dataBar" id="{A60D681C-7AAA-4222-A06D-57C3D35F5D6B}">
            <x14:dataBar minLength="0" maxLength="100" gradient="0">
              <x14:cfvo type="autoMin"/>
              <x14:cfvo type="autoMax"/>
              <x14:negativeFillColor theme="9" tint="0.59999389629810485"/>
              <x14:axisColor rgb="FF000000"/>
            </x14:dataBar>
          </x14:cfRule>
          <xm:sqref>K5</xm:sqref>
        </x14:conditionalFormatting>
        <x14:conditionalFormatting xmlns:xm="http://schemas.microsoft.com/office/excel/2006/main">
          <x14:cfRule type="dataBar" id="{8E44A0EF-5F5A-4843-9DC1-6DDDD241C26E}">
            <x14:dataBar minLength="0" maxLength="100" gradient="0">
              <x14:cfvo type="autoMin"/>
              <x14:cfvo type="autoMax"/>
              <x14:negativeFillColor theme="9" tint="0.59999389629810485"/>
              <x14:axisColor rgb="FF000000"/>
            </x14:dataBar>
          </x14:cfRule>
          <xm:sqref>O5</xm:sqref>
        </x14:conditionalFormatting>
        <x14:conditionalFormatting xmlns:xm="http://schemas.microsoft.com/office/excel/2006/main">
          <x14:cfRule type="dataBar" id="{3CAF5F71-74D5-4E3B-8B39-80E0C087026C}">
            <x14:dataBar minLength="0" maxLength="100" gradient="0">
              <x14:cfvo type="autoMin"/>
              <x14:cfvo type="autoMax"/>
              <x14:negativeFillColor theme="9" tint="0.59999389629810485"/>
              <x14:axisColor rgb="FF000000"/>
            </x14:dataBar>
          </x14:cfRule>
          <xm:sqref>O5</xm:sqref>
        </x14:conditionalFormatting>
        <x14:conditionalFormatting xmlns:xm="http://schemas.microsoft.com/office/excel/2006/main">
          <x14:cfRule type="dataBar" id="{CBA4F07B-2A97-4DDA-B27E-EA6BECDB1DFF}">
            <x14:dataBar minLength="0" maxLength="100" gradient="0">
              <x14:cfvo type="autoMin"/>
              <x14:cfvo type="autoMax"/>
              <x14:negativeFillColor theme="9" tint="0.59999389629810485"/>
              <x14:axisColor rgb="FF000000"/>
            </x14:dataBar>
          </x14:cfRule>
          <xm:sqref>S5</xm:sqref>
        </x14:conditionalFormatting>
        <x14:conditionalFormatting xmlns:xm="http://schemas.microsoft.com/office/excel/2006/main">
          <x14:cfRule type="dataBar" id="{8C0C5F03-F2E7-4834-B1CE-F3DE16E7CC93}">
            <x14:dataBar minLength="0" maxLength="100" gradient="0">
              <x14:cfvo type="autoMin"/>
              <x14:cfvo type="autoMax"/>
              <x14:negativeFillColor theme="9" tint="0.59999389629810485"/>
              <x14:axisColor rgb="FF000000"/>
            </x14:dataBar>
          </x14:cfRule>
          <xm:sqref>S5</xm:sqref>
        </x14:conditionalFormatting>
        <x14:conditionalFormatting xmlns:xm="http://schemas.microsoft.com/office/excel/2006/main">
          <x14:cfRule type="dataBar" id="{E45968AB-0DAF-4C39-9899-9F17B61CEA74}">
            <x14:dataBar minLength="0" maxLength="100" gradient="0">
              <x14:cfvo type="autoMin"/>
              <x14:cfvo type="autoMax"/>
              <x14:negativeFillColor theme="9" tint="0.59999389629810485"/>
              <x14:axisColor rgb="FF000000"/>
            </x14:dataBar>
          </x14:cfRule>
          <xm:sqref>C9</xm:sqref>
        </x14:conditionalFormatting>
        <x14:conditionalFormatting xmlns:xm="http://schemas.microsoft.com/office/excel/2006/main">
          <x14:cfRule type="dataBar" id="{F4362478-5574-4186-B08B-69DF421CD3A6}">
            <x14:dataBar minLength="0" maxLength="100" gradient="0">
              <x14:cfvo type="autoMin"/>
              <x14:cfvo type="autoMax"/>
              <x14:negativeFillColor theme="9" tint="0.59999389629810485"/>
              <x14:axisColor rgb="FF000000"/>
            </x14:dataBar>
          </x14:cfRule>
          <xm:sqref>C9</xm:sqref>
        </x14:conditionalFormatting>
        <x14:conditionalFormatting xmlns:xm="http://schemas.microsoft.com/office/excel/2006/main">
          <x14:cfRule type="dataBar" id="{20CC8566-3E48-45BA-8660-4F6F23BE74DB}">
            <x14:dataBar minLength="0" maxLength="100" gradient="0">
              <x14:cfvo type="autoMin"/>
              <x14:cfvo type="autoMax"/>
              <x14:negativeFillColor theme="9" tint="0.59999389629810485"/>
              <x14:axisColor rgb="FF000000"/>
            </x14:dataBar>
          </x14:cfRule>
          <xm:sqref>G9</xm:sqref>
        </x14:conditionalFormatting>
        <x14:conditionalFormatting xmlns:xm="http://schemas.microsoft.com/office/excel/2006/main">
          <x14:cfRule type="dataBar" id="{A91DD5D1-60F2-4021-B01C-5DF94A1EC8F0}">
            <x14:dataBar minLength="0" maxLength="100" gradient="0">
              <x14:cfvo type="autoMin"/>
              <x14:cfvo type="autoMax"/>
              <x14:negativeFillColor theme="9" tint="0.59999389629810485"/>
              <x14:axisColor rgb="FF000000"/>
            </x14:dataBar>
          </x14:cfRule>
          <xm:sqref>G9</xm:sqref>
        </x14:conditionalFormatting>
        <x14:conditionalFormatting xmlns:xm="http://schemas.microsoft.com/office/excel/2006/main">
          <x14:cfRule type="dataBar" id="{582BFA14-E145-4F9B-9A95-4B28F8CC55C2}">
            <x14:dataBar minLength="0" maxLength="100" gradient="0">
              <x14:cfvo type="autoMin"/>
              <x14:cfvo type="autoMax"/>
              <x14:negativeFillColor theme="9" tint="0.59999389629810485"/>
              <x14:axisColor rgb="FF000000"/>
            </x14:dataBar>
          </x14:cfRule>
          <xm:sqref>K9</xm:sqref>
        </x14:conditionalFormatting>
        <x14:conditionalFormatting xmlns:xm="http://schemas.microsoft.com/office/excel/2006/main">
          <x14:cfRule type="dataBar" id="{7A109E94-259D-4D0A-8C6D-14D8A2DB38A2}">
            <x14:dataBar minLength="0" maxLength="100" gradient="0">
              <x14:cfvo type="autoMin"/>
              <x14:cfvo type="autoMax"/>
              <x14:negativeFillColor theme="9" tint="0.59999389629810485"/>
              <x14:axisColor rgb="FF000000"/>
            </x14:dataBar>
          </x14:cfRule>
          <xm:sqref>K9</xm:sqref>
        </x14:conditionalFormatting>
        <x14:conditionalFormatting xmlns:xm="http://schemas.microsoft.com/office/excel/2006/main">
          <x14:cfRule type="dataBar" id="{FDED5361-BFD4-465F-93BF-86EC9EB1ED93}">
            <x14:dataBar minLength="0" maxLength="100" gradient="0">
              <x14:cfvo type="autoMin"/>
              <x14:cfvo type="autoMax"/>
              <x14:negativeFillColor theme="9" tint="0.59999389629810485"/>
              <x14:axisColor rgb="FF000000"/>
            </x14:dataBar>
          </x14:cfRule>
          <xm:sqref>O9</xm:sqref>
        </x14:conditionalFormatting>
        <x14:conditionalFormatting xmlns:xm="http://schemas.microsoft.com/office/excel/2006/main">
          <x14:cfRule type="dataBar" id="{43CF6471-F51F-49FA-B22D-E1259E0AEC41}">
            <x14:dataBar minLength="0" maxLength="100" gradient="0">
              <x14:cfvo type="autoMin"/>
              <x14:cfvo type="autoMax"/>
              <x14:negativeFillColor theme="9" tint="0.59999389629810485"/>
              <x14:axisColor rgb="FF000000"/>
            </x14:dataBar>
          </x14:cfRule>
          <xm:sqref>O9</xm:sqref>
        </x14:conditionalFormatting>
        <x14:conditionalFormatting xmlns:xm="http://schemas.microsoft.com/office/excel/2006/main">
          <x14:cfRule type="dataBar" id="{E165E39D-B929-4962-8E0E-68BB2D133589}">
            <x14:dataBar minLength="0" maxLength="100" gradient="0">
              <x14:cfvo type="autoMin"/>
              <x14:cfvo type="autoMax"/>
              <x14:negativeFillColor theme="9" tint="0.59999389629810485"/>
              <x14:axisColor rgb="FF000000"/>
            </x14:dataBar>
          </x14:cfRule>
          <xm:sqref>S9</xm:sqref>
        </x14:conditionalFormatting>
        <x14:conditionalFormatting xmlns:xm="http://schemas.microsoft.com/office/excel/2006/main">
          <x14:cfRule type="dataBar" id="{5A392B7E-5B0F-4ACD-93BB-CE1B57DC47DF}">
            <x14:dataBar minLength="0" maxLength="100" gradient="0">
              <x14:cfvo type="autoMin"/>
              <x14:cfvo type="autoMax"/>
              <x14:negativeFillColor theme="9" tint="0.59999389629810485"/>
              <x14:axisColor rgb="FF000000"/>
            </x14:dataBar>
          </x14:cfRule>
          <xm:sqref>S9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CC2F3-F570-49A6-949D-574BCE6E00B8}">
  <sheetPr codeName="Sheet9"/>
  <dimension ref="A1:AF26"/>
  <sheetViews>
    <sheetView tabSelected="1" zoomScale="115" zoomScaleNormal="205" workbookViewId="0">
      <selection activeCell="C16" sqref="C16"/>
    </sheetView>
  </sheetViews>
  <sheetFormatPr defaultColWidth="8.77734375" defaultRowHeight="13.8" x14ac:dyDescent="0.25"/>
  <cols>
    <col min="1" max="1" width="3.109375" style="15" bestFit="1" customWidth="1"/>
    <col min="2" max="2" width="13.88671875" style="15" bestFit="1" customWidth="1"/>
    <col min="3" max="3" width="11.21875" style="15" bestFit="1" customWidth="1"/>
    <col min="4" max="4" width="8" style="15" bestFit="1" customWidth="1"/>
    <col min="5" max="5" width="0.44140625" style="15" customWidth="1"/>
    <col min="6" max="6" width="3.109375" style="15" bestFit="1" customWidth="1"/>
    <col min="7" max="8" width="13.88671875" style="15" bestFit="1" customWidth="1"/>
    <col min="9" max="9" width="7.5546875" style="15" bestFit="1" customWidth="1"/>
    <col min="10" max="10" width="0.44140625" style="15" customWidth="1"/>
    <col min="11" max="11" width="3.109375" style="15" bestFit="1" customWidth="1"/>
    <col min="12" max="12" width="13.88671875" style="15" bestFit="1" customWidth="1"/>
    <col min="13" max="13" width="10.6640625" style="15" bestFit="1" customWidth="1"/>
    <col min="14" max="14" width="7.5546875" style="15" bestFit="1" customWidth="1"/>
    <col min="15" max="15" width="0.44140625" style="15" customWidth="1"/>
    <col min="16" max="16" width="3.109375" style="15" bestFit="1" customWidth="1"/>
    <col min="17" max="17" width="13.88671875" style="15" bestFit="1" customWidth="1"/>
    <col min="18" max="18" width="10.6640625" style="15" bestFit="1" customWidth="1"/>
    <col min="19" max="19" width="7.5546875" style="15" bestFit="1" customWidth="1"/>
    <col min="20" max="20" width="0.44140625" style="15" customWidth="1"/>
    <col min="21" max="21" width="3.109375" style="15" bestFit="1" customWidth="1"/>
    <col min="22" max="22" width="13.88671875" style="15" bestFit="1" customWidth="1"/>
    <col min="23" max="23" width="10.6640625" style="15" bestFit="1" customWidth="1"/>
    <col min="24" max="24" width="7.5546875" style="15" bestFit="1" customWidth="1"/>
    <col min="25" max="16384" width="8.77734375" style="15"/>
  </cols>
  <sheetData>
    <row r="1" spans="1:32" x14ac:dyDescent="0.25">
      <c r="A1" s="134" t="s">
        <v>39</v>
      </c>
      <c r="B1" s="134"/>
      <c r="C1" s="134"/>
      <c r="D1" s="134"/>
      <c r="F1" s="134" t="s">
        <v>40</v>
      </c>
      <c r="G1" s="134"/>
      <c r="H1" s="134"/>
      <c r="I1" s="134"/>
      <c r="K1" s="134" t="s">
        <v>41</v>
      </c>
      <c r="L1" s="134"/>
      <c r="M1" s="134"/>
      <c r="N1" s="134"/>
      <c r="P1" s="134" t="s">
        <v>42</v>
      </c>
      <c r="Q1" s="134"/>
      <c r="R1" s="134"/>
      <c r="S1" s="134"/>
      <c r="U1" s="134" t="s">
        <v>43</v>
      </c>
      <c r="V1" s="134"/>
      <c r="W1" s="134"/>
      <c r="X1" s="134"/>
    </row>
    <row r="2" spans="1:32" x14ac:dyDescent="0.25">
      <c r="A2" s="181">
        <v>46204</v>
      </c>
      <c r="B2" s="182"/>
      <c r="C2" s="182"/>
      <c r="D2" s="183"/>
      <c r="F2" s="181">
        <f>A2</f>
        <v>46204</v>
      </c>
      <c r="G2" s="182"/>
      <c r="H2" s="182"/>
      <c r="I2" s="183"/>
      <c r="K2" s="181">
        <f>F2</f>
        <v>46204</v>
      </c>
      <c r="L2" s="182"/>
      <c r="M2" s="182"/>
      <c r="N2" s="183"/>
      <c r="P2" s="181">
        <f>K2</f>
        <v>46204</v>
      </c>
      <c r="Q2" s="182"/>
      <c r="R2" s="182"/>
      <c r="S2" s="183"/>
      <c r="U2" s="181">
        <f>P2</f>
        <v>46204</v>
      </c>
      <c r="V2" s="182"/>
      <c r="W2" s="182"/>
      <c r="X2" s="183"/>
      <c r="AA2" s="34" t="s">
        <v>64</v>
      </c>
      <c r="AB2" s="34" t="s">
        <v>59</v>
      </c>
      <c r="AC2" s="34" t="s">
        <v>60</v>
      </c>
      <c r="AD2" s="34" t="s">
        <v>61</v>
      </c>
      <c r="AE2" s="34" t="s">
        <v>62</v>
      </c>
      <c r="AF2" s="34" t="s">
        <v>63</v>
      </c>
    </row>
    <row r="3" spans="1:32" x14ac:dyDescent="0.25">
      <c r="A3" s="13" t="s">
        <v>14</v>
      </c>
      <c r="B3" s="13" t="s">
        <v>24</v>
      </c>
      <c r="C3" s="13" t="s">
        <v>25</v>
      </c>
      <c r="D3" s="13" t="s">
        <v>3</v>
      </c>
      <c r="F3" s="13" t="s">
        <v>14</v>
      </c>
      <c r="G3" s="13" t="s">
        <v>24</v>
      </c>
      <c r="H3" s="13" t="s">
        <v>25</v>
      </c>
      <c r="I3" s="13" t="s">
        <v>3</v>
      </c>
      <c r="K3" s="13" t="s">
        <v>14</v>
      </c>
      <c r="L3" s="13" t="s">
        <v>24</v>
      </c>
      <c r="M3" s="13" t="s">
        <v>25</v>
      </c>
      <c r="N3" s="13" t="s">
        <v>3</v>
      </c>
      <c r="P3" s="13" t="s">
        <v>14</v>
      </c>
      <c r="Q3" s="13" t="s">
        <v>24</v>
      </c>
      <c r="R3" s="13" t="s">
        <v>25</v>
      </c>
      <c r="S3" s="13" t="s">
        <v>3</v>
      </c>
      <c r="U3" s="13" t="s">
        <v>14</v>
      </c>
      <c r="V3" s="13" t="s">
        <v>24</v>
      </c>
      <c r="W3" s="13" t="s">
        <v>25</v>
      </c>
      <c r="X3" s="13" t="s">
        <v>3</v>
      </c>
      <c r="AA3" s="34"/>
      <c r="AB3" s="34" t="str">
        <f>IF(SUM(C5:C7)&gt;C4,"oke","cek lagi")</f>
        <v>oke</v>
      </c>
      <c r="AC3" s="34" t="str">
        <f>IF(SUM(H5:H7)&gt;H4,"oke","cek lagi")</f>
        <v>oke</v>
      </c>
      <c r="AD3" s="34" t="str">
        <f>IF(SUM(M5:M7)&gt;M4,"oke","cek lagi")</f>
        <v>oke</v>
      </c>
      <c r="AE3" s="34" t="str">
        <f>IF(SUM(R5:R7)&gt;R4,"oke","cek lagi")</f>
        <v>oke</v>
      </c>
      <c r="AF3" s="34" t="str">
        <f>IF(SUM(W5:W7)&gt;W4,"oke","cek lagi")</f>
        <v>oke</v>
      </c>
    </row>
    <row r="4" spans="1:32" x14ac:dyDescent="0.25">
      <c r="A4" s="179" t="s">
        <v>26</v>
      </c>
      <c r="B4" s="180"/>
      <c r="C4" s="5">
        <f>[41]Data!$H$33/1000</f>
        <v>1493.0509999999999</v>
      </c>
      <c r="D4" s="6">
        <f>[41]Data!$H$33/[41]Data!$C$33-1</f>
        <v>1.1761863673067223</v>
      </c>
      <c r="F4" s="179" t="s">
        <v>26</v>
      </c>
      <c r="G4" s="180"/>
      <c r="H4" s="5">
        <f>[41]Data!$H$13/1000</f>
        <v>443.24099999999999</v>
      </c>
      <c r="I4" s="6">
        <f>[41]Data!$H$13/[41]Data!$C$13-1</f>
        <v>1.708138327121647</v>
      </c>
      <c r="K4" s="179" t="s">
        <v>26</v>
      </c>
      <c r="L4" s="180"/>
      <c r="M4" s="5">
        <f>[41]Data!$H$23/1000</f>
        <v>677.95299999999997</v>
      </c>
      <c r="N4" s="6">
        <f>[41]Data!$H$23/[41]Data!$C$23-1</f>
        <v>1.3763977201825535</v>
      </c>
      <c r="P4" s="179" t="s">
        <v>26</v>
      </c>
      <c r="Q4" s="180"/>
      <c r="R4" s="5">
        <f>[41]Data!$H$28/1000</f>
        <v>529.14800000000002</v>
      </c>
      <c r="S4" s="6">
        <f>[41]Data!$H$28/[41]Data!$C$28-1</f>
        <v>1.4147123919045339</v>
      </c>
      <c r="U4" s="179" t="s">
        <v>26</v>
      </c>
      <c r="V4" s="180"/>
      <c r="W4" s="5">
        <f>[41]Data!$H$18/1000</f>
        <v>278.00200000000001</v>
      </c>
      <c r="X4" s="6">
        <f>[41]Data!$H$18/[41]Data!$C$18-1</f>
        <v>0.78553215540440724</v>
      </c>
    </row>
    <row r="5" spans="1:32" x14ac:dyDescent="0.25">
      <c r="A5" s="1">
        <v>1</v>
      </c>
      <c r="B5" s="1" t="s">
        <v>27</v>
      </c>
      <c r="C5" s="7">
        <f>[41]Data!$H$29/1000</f>
        <v>467.83800000000002</v>
      </c>
      <c r="D5" s="25">
        <f>[41]Data!$H$29/[41]Data!$C$29-1</f>
        <v>0.35170321574066055</v>
      </c>
      <c r="F5" s="1">
        <v>1</v>
      </c>
      <c r="G5" s="1" t="s">
        <v>27</v>
      </c>
      <c r="H5" s="7">
        <f>[41]Data!$H$9/1000</f>
        <v>107.42</v>
      </c>
      <c r="I5" s="25">
        <f>[41]Data!$H$9/[41]Data!$C$9-1</f>
        <v>0.44457444090316156</v>
      </c>
      <c r="K5" s="1">
        <v>1</v>
      </c>
      <c r="L5" s="1" t="s">
        <v>27</v>
      </c>
      <c r="M5" s="7">
        <f>[41]Data!$H$19/1000</f>
        <v>200.35499999999999</v>
      </c>
      <c r="N5" s="25">
        <f>[41]Data!$H$19/[41]Data!$C$19-1</f>
        <v>0.41358873954915865</v>
      </c>
      <c r="P5" s="1">
        <v>1</v>
      </c>
      <c r="Q5" s="1" t="s">
        <v>27</v>
      </c>
      <c r="R5" s="7">
        <f>[41]Data!$H$24/1000</f>
        <v>145.45500000000001</v>
      </c>
      <c r="S5" s="25">
        <f>[41]Data!$H$24/[41]Data!$C$24-1</f>
        <v>0.36671145480000367</v>
      </c>
      <c r="U5" s="1">
        <v>1</v>
      </c>
      <c r="V5" s="1" t="s">
        <v>27</v>
      </c>
      <c r="W5" s="7">
        <f>[41]Data!$H$14/1000</f>
        <v>122.76300000000001</v>
      </c>
      <c r="X5" s="25">
        <f>[41]Data!$H$14/[41]Data!$C$14-1</f>
        <v>0.38425889383774026</v>
      </c>
    </row>
    <row r="6" spans="1:32" x14ac:dyDescent="0.25">
      <c r="A6" s="1">
        <v>2</v>
      </c>
      <c r="B6" s="1" t="s">
        <v>28</v>
      </c>
      <c r="C6" s="7">
        <f>[41]Data!$H$32/1000</f>
        <v>75.522999999999996</v>
      </c>
      <c r="D6" s="25">
        <f>[41]Data!$H$32/[41]Data!$C$32-1</f>
        <v>0.14440925552710127</v>
      </c>
      <c r="F6" s="1">
        <v>2</v>
      </c>
      <c r="G6" s="1" t="s">
        <v>28</v>
      </c>
      <c r="H6" s="7">
        <f>[41]Data!$H$12/1000</f>
        <v>8.4390000000000001</v>
      </c>
      <c r="I6" s="25">
        <f>[41]Data!$H$12/[41]Data!$C$12-1</f>
        <v>0.35784392598551884</v>
      </c>
      <c r="K6" s="1">
        <v>2</v>
      </c>
      <c r="L6" s="1" t="s">
        <v>28</v>
      </c>
      <c r="M6" s="7">
        <f>[41]Data!$H$22/1000</f>
        <v>23.442</v>
      </c>
      <c r="N6" s="25">
        <f>[41]Data!$H$22/[41]Data!$C$22-1</f>
        <v>0.18042197492320855</v>
      </c>
      <c r="P6" s="1">
        <v>2</v>
      </c>
      <c r="Q6" s="1" t="s">
        <v>28</v>
      </c>
      <c r="R6" s="7">
        <f>[41]Data!$H$27/1000</f>
        <v>11.307</v>
      </c>
      <c r="S6" s="25">
        <f>[41]Data!$H$27/[41]Data!$C$27-1</f>
        <v>0.24911621741051704</v>
      </c>
      <c r="U6" s="1">
        <v>2</v>
      </c>
      <c r="V6" s="1" t="s">
        <v>28</v>
      </c>
      <c r="W6" s="7">
        <f>[41]Data!$H$17/1000</f>
        <v>19.640999999999998</v>
      </c>
      <c r="X6" s="25">
        <f>[41]Data!$H$17/[41]Data!$C$17-1</f>
        <v>0.28591069791803059</v>
      </c>
    </row>
    <row r="7" spans="1:32" x14ac:dyDescent="0.25">
      <c r="A7" s="1">
        <v>3</v>
      </c>
      <c r="B7" s="1" t="s">
        <v>29</v>
      </c>
      <c r="C7" s="7">
        <f>[41]Data!$H$31/1000</f>
        <v>1438.404</v>
      </c>
      <c r="D7" s="25">
        <f>[41]Data!$H$31/[41]Data!$C$31-1</f>
        <v>1.2349555775846262</v>
      </c>
      <c r="F7" s="1">
        <v>3</v>
      </c>
      <c r="G7" s="1" t="s">
        <v>29</v>
      </c>
      <c r="H7" s="7">
        <f>[41]Data!$H$11/1000</f>
        <v>426.37799999999999</v>
      </c>
      <c r="I7" s="25">
        <f>[41]Data!$H$11/[41]Data!$C$11-1</f>
        <v>1.8172585813868976</v>
      </c>
      <c r="K7" s="1">
        <v>3</v>
      </c>
      <c r="L7" s="1" t="s">
        <v>29</v>
      </c>
      <c r="M7" s="7">
        <f>[41]Data!$H$21/1000</f>
        <v>650.75800000000004</v>
      </c>
      <c r="N7" s="25">
        <f>[41]Data!$H$21/[41]Data!$C$21-1</f>
        <v>1.4464862385666004</v>
      </c>
      <c r="P7" s="1">
        <v>3</v>
      </c>
      <c r="Q7" s="1" t="s">
        <v>29</v>
      </c>
      <c r="R7" s="7">
        <f>[41]Data!$H$26/1000</f>
        <v>511.90100000000001</v>
      </c>
      <c r="S7" s="25">
        <f>[41]Data!$H$26/[41]Data!$C$26-1</f>
        <v>1.4735133097853135</v>
      </c>
      <c r="U7" s="1">
        <v>3</v>
      </c>
      <c r="V7" s="1" t="s">
        <v>29</v>
      </c>
      <c r="W7" s="7">
        <f>[41]Data!$H$16/1000</f>
        <v>258.875</v>
      </c>
      <c r="X7" s="25">
        <f>[41]Data!$H$16/[41]Data!$C$16-1</f>
        <v>0.82563469675599443</v>
      </c>
    </row>
    <row r="8" spans="1:32" x14ac:dyDescent="0.25">
      <c r="A8" s="181">
        <v>46204</v>
      </c>
      <c r="B8" s="182"/>
      <c r="C8" s="182"/>
      <c r="D8" s="183"/>
      <c r="F8" s="181">
        <f>A8</f>
        <v>46204</v>
      </c>
      <c r="G8" s="182"/>
      <c r="H8" s="182"/>
      <c r="I8" s="183"/>
      <c r="K8" s="181">
        <f>F8</f>
        <v>46204</v>
      </c>
      <c r="L8" s="182"/>
      <c r="M8" s="182"/>
      <c r="N8" s="183"/>
      <c r="P8" s="181">
        <f>K8</f>
        <v>46204</v>
      </c>
      <c r="Q8" s="182"/>
      <c r="R8" s="182"/>
      <c r="S8" s="183"/>
      <c r="U8" s="181">
        <f>P8</f>
        <v>46204</v>
      </c>
      <c r="V8" s="182"/>
      <c r="W8" s="182"/>
      <c r="X8" s="183"/>
    </row>
    <row r="9" spans="1:32" x14ac:dyDescent="0.25">
      <c r="A9" s="13" t="s">
        <v>14</v>
      </c>
      <c r="B9" s="11" t="s">
        <v>54</v>
      </c>
      <c r="C9" s="11" t="s">
        <v>55</v>
      </c>
      <c r="D9" s="13" t="s">
        <v>3</v>
      </c>
      <c r="F9" s="13" t="s">
        <v>14</v>
      </c>
      <c r="G9" s="11" t="s">
        <v>54</v>
      </c>
      <c r="H9" s="11" t="s">
        <v>55</v>
      </c>
      <c r="I9" s="13" t="s">
        <v>3</v>
      </c>
      <c r="K9" s="13" t="s">
        <v>14</v>
      </c>
      <c r="L9" s="11" t="s">
        <v>54</v>
      </c>
      <c r="M9" s="11" t="s">
        <v>55</v>
      </c>
      <c r="N9" s="13" t="s">
        <v>3</v>
      </c>
      <c r="P9" s="13" t="s">
        <v>14</v>
      </c>
      <c r="Q9" s="11" t="s">
        <v>54</v>
      </c>
      <c r="R9" s="11" t="s">
        <v>55</v>
      </c>
      <c r="S9" s="13" t="s">
        <v>3</v>
      </c>
      <c r="U9" s="13" t="s">
        <v>14</v>
      </c>
      <c r="V9" s="11" t="s">
        <v>54</v>
      </c>
      <c r="W9" s="11" t="s">
        <v>55</v>
      </c>
      <c r="X9" s="13" t="s">
        <v>3</v>
      </c>
    </row>
    <row r="10" spans="1:32" x14ac:dyDescent="0.25">
      <c r="A10" s="1">
        <v>1</v>
      </c>
      <c r="B10" s="1" t="s">
        <v>52</v>
      </c>
      <c r="C10" s="7">
        <f>[42]Data!$F$13/1000000000</f>
        <v>9446.3188927980009</v>
      </c>
      <c r="D10" s="25">
        <f>[42]Data!$F$13/[42]Data!$B$13-1</f>
        <v>0.17470837697574249</v>
      </c>
      <c r="F10" s="1">
        <v>1</v>
      </c>
      <c r="G10" s="1" t="s">
        <v>52</v>
      </c>
      <c r="H10" s="7">
        <f>[42]Data!$F$9/1000000000</f>
        <v>958.51300260799997</v>
      </c>
      <c r="I10" s="25">
        <f>[42]Data!$F$9/[42]Data!$B$9-1</f>
        <v>0.40918954448171418</v>
      </c>
      <c r="K10" s="1">
        <v>1</v>
      </c>
      <c r="L10" s="1" t="s">
        <v>52</v>
      </c>
      <c r="M10" s="7">
        <f>[42]Data!$F$11/1000000000</f>
        <v>3278.6077373060002</v>
      </c>
      <c r="N10" s="25">
        <f>[42]Data!$F$11/[42]Data!$B$11-1</f>
        <v>0.52562279548208535</v>
      </c>
      <c r="P10" s="1">
        <v>1</v>
      </c>
      <c r="Q10" s="1" t="s">
        <v>52</v>
      </c>
      <c r="R10" s="7">
        <f>[42]Data!$F$12/1000000000</f>
        <v>1112.593739828</v>
      </c>
      <c r="S10" s="25">
        <f>[42]Data!$F$12/[42]Data!$B$12-1</f>
        <v>0.19690352241347964</v>
      </c>
      <c r="U10" s="1">
        <v>1</v>
      </c>
      <c r="V10" s="1" t="s">
        <v>52</v>
      </c>
      <c r="W10" s="7">
        <f>[42]Data!$F$10/1000000000</f>
        <v>2171.559494827</v>
      </c>
      <c r="X10" s="25">
        <f>[42]Data!$F$10/[42]Data!$B$10-1</f>
        <v>6.8703972034554806E-2</v>
      </c>
    </row>
    <row r="11" spans="1:32" x14ac:dyDescent="0.25">
      <c r="A11" s="1">
        <v>2</v>
      </c>
      <c r="B11" s="1" t="s">
        <v>53</v>
      </c>
      <c r="C11" s="7">
        <f>[42]Data!$G$13/1000000000</f>
        <v>9582.9063015669999</v>
      </c>
      <c r="D11" s="25">
        <f>[42]Data!$G$13/[42]Data!$C$13-1</f>
        <v>0.11683942313163231</v>
      </c>
      <c r="F11" s="1">
        <v>2</v>
      </c>
      <c r="G11" s="1" t="s">
        <v>53</v>
      </c>
      <c r="H11" s="7">
        <f>[42]Data!$G$9/1000000000</f>
        <v>981.55590329999995</v>
      </c>
      <c r="I11" s="25">
        <f>[42]Data!$G$9/[42]Data!$C$9-1</f>
        <v>0.36227279070547636</v>
      </c>
      <c r="K11" s="1">
        <v>2</v>
      </c>
      <c r="L11" s="1" t="s">
        <v>53</v>
      </c>
      <c r="M11" s="7">
        <f>[42]Data!$G$11/1000000000</f>
        <v>3474.6334514179998</v>
      </c>
      <c r="N11" s="25">
        <f>[42]Data!$G$11/[42]Data!$C$11-1</f>
        <v>0.46721638977197055</v>
      </c>
      <c r="P11" s="1">
        <v>2</v>
      </c>
      <c r="Q11" s="1" t="s">
        <v>53</v>
      </c>
      <c r="R11" s="7">
        <f>[42]Data!$G$12/1000000000</f>
        <v>1131.67309983</v>
      </c>
      <c r="S11" s="25">
        <f>[42]Data!$G$12/[42]Data!$C$12-1</f>
        <v>0.14922039314828139</v>
      </c>
      <c r="U11" s="1">
        <v>2</v>
      </c>
      <c r="V11" s="1" t="s">
        <v>53</v>
      </c>
      <c r="W11" s="7">
        <f>[42]Data!$G$10/1000000000</f>
        <v>2288.4744198090002</v>
      </c>
      <c r="X11" s="25">
        <f>[42]Data!$G$10/[42]Data!$C$10-1</f>
        <v>4.2991397654784214E-2</v>
      </c>
    </row>
    <row r="12" spans="1:32" ht="27.6" hidden="1" x14ac:dyDescent="0.25">
      <c r="A12" s="13" t="s">
        <v>14</v>
      </c>
      <c r="B12" s="13" t="s">
        <v>37</v>
      </c>
      <c r="C12" s="11" t="s">
        <v>38</v>
      </c>
      <c r="D12" s="13" t="s">
        <v>3</v>
      </c>
      <c r="F12" s="13" t="s">
        <v>14</v>
      </c>
      <c r="G12" s="13" t="s">
        <v>37</v>
      </c>
      <c r="H12" s="11" t="s">
        <v>38</v>
      </c>
      <c r="I12" s="13" t="s">
        <v>3</v>
      </c>
      <c r="K12" s="13" t="s">
        <v>14</v>
      </c>
      <c r="L12" s="13" t="s">
        <v>37</v>
      </c>
      <c r="M12" s="11" t="s">
        <v>38</v>
      </c>
      <c r="N12" s="13" t="s">
        <v>3</v>
      </c>
      <c r="P12" s="13" t="s">
        <v>14</v>
      </c>
      <c r="Q12" s="13" t="s">
        <v>37</v>
      </c>
      <c r="R12" s="11" t="s">
        <v>38</v>
      </c>
      <c r="S12" s="13" t="s">
        <v>3</v>
      </c>
      <c r="U12" s="13" t="s">
        <v>14</v>
      </c>
      <c r="V12" s="13" t="s">
        <v>37</v>
      </c>
      <c r="W12" s="11" t="s">
        <v>38</v>
      </c>
      <c r="X12" s="13" t="s">
        <v>3</v>
      </c>
    </row>
    <row r="13" spans="1:32" hidden="1" x14ac:dyDescent="0.25">
      <c r="A13" s="184" t="s">
        <v>26</v>
      </c>
      <c r="B13" s="184"/>
      <c r="C13" s="5">
        <f>'[43]IV a. Kepemilikan Prov'!$L$48</f>
        <v>26466.093143077</v>
      </c>
      <c r="D13" s="6"/>
      <c r="F13" s="184" t="s">
        <v>26</v>
      </c>
      <c r="G13" s="184"/>
      <c r="H13" s="5">
        <f>'[43]IV a. Kepemilikan Prov'!$L$11</f>
        <v>1014.071375747</v>
      </c>
      <c r="I13" s="6"/>
      <c r="K13" s="184" t="s">
        <v>26</v>
      </c>
      <c r="L13" s="184"/>
      <c r="M13" s="5">
        <f>'[43]IV a. Kepemilikan Prov'!$L$40</f>
        <v>6424.0996658650001</v>
      </c>
      <c r="N13" s="6"/>
      <c r="P13" s="184" t="s">
        <v>26</v>
      </c>
      <c r="Q13" s="184"/>
      <c r="R13" s="5">
        <f>'[43]IV a. Kepemilikan Prov'!$L$46</f>
        <v>1976.775182806</v>
      </c>
      <c r="S13" s="6"/>
      <c r="U13" s="184" t="s">
        <v>26</v>
      </c>
      <c r="V13" s="184"/>
      <c r="W13" s="5">
        <f>'[43]IV a. Kepemilikan Prov'!$L$28</f>
        <v>7963.9919738380004</v>
      </c>
      <c r="X13" s="6"/>
    </row>
    <row r="14" spans="1:32" hidden="1" x14ac:dyDescent="0.25">
      <c r="A14" s="1">
        <v>1</v>
      </c>
      <c r="B14" s="1" t="s">
        <v>35</v>
      </c>
      <c r="C14" s="7">
        <f>'[43]IV a. Kepemilikan Prov'!$F$48</f>
        <v>21723.587509018998</v>
      </c>
      <c r="D14" s="25">
        <f>'[43]IV a. Kepemilikan Prov'!$F$48/'[44]IV a. Kepemilikan Prov'!$F$44-1</f>
        <v>0.23085101364162219</v>
      </c>
      <c r="F14" s="1">
        <v>1</v>
      </c>
      <c r="G14" s="1" t="s">
        <v>35</v>
      </c>
      <c r="H14" s="7">
        <f>'[43]IV a. Kepemilikan Prov'!$F$11</f>
        <v>915.77094862700005</v>
      </c>
      <c r="I14" s="25">
        <f>'[43]IV a. Kepemilikan Prov'!$F$11/'[44]IV a. Kepemilikan Prov'!$F$11-1</f>
        <v>0.33606861993217896</v>
      </c>
      <c r="K14" s="1">
        <v>1</v>
      </c>
      <c r="L14" s="1" t="s">
        <v>35</v>
      </c>
      <c r="M14" s="7">
        <f>'[43]IV a. Kepemilikan Prov'!$F$40</f>
        <v>5923.9010321810001</v>
      </c>
      <c r="N14" s="25">
        <f>'[43]IV a. Kepemilikan Prov'!$F$40/'[44]IV a. Kepemilikan Prov'!$F$36-1</f>
        <v>0.33674619711722853</v>
      </c>
      <c r="P14" s="1">
        <v>1</v>
      </c>
      <c r="Q14" s="1" t="s">
        <v>35</v>
      </c>
      <c r="R14" s="7">
        <f>'[43]IV a. Kepemilikan Prov'!$F$46</f>
        <v>1554.39586059</v>
      </c>
      <c r="S14" s="25">
        <f>'[43]IV a. Kepemilikan Prov'!$F$46/'[44]IV a. Kepemilikan Prov'!$F$42-1</f>
        <v>0.27340482068750172</v>
      </c>
      <c r="U14" s="1">
        <v>1</v>
      </c>
      <c r="V14" s="1" t="s">
        <v>35</v>
      </c>
      <c r="W14" s="7">
        <f>'[43]IV a. Kepemilikan Prov'!$F$28</f>
        <v>5656.5582235620004</v>
      </c>
      <c r="X14" s="25">
        <f>'[43]IV a. Kepemilikan Prov'!$F$28/'[44]IV a. Kepemilikan Prov'!$F$28-1</f>
        <v>0.93674755914879015</v>
      </c>
    </row>
    <row r="15" spans="1:32" hidden="1" x14ac:dyDescent="0.25">
      <c r="A15" s="1">
        <v>2</v>
      </c>
      <c r="B15" s="1" t="s">
        <v>36</v>
      </c>
      <c r="C15" s="7">
        <f>C13-C14</f>
        <v>4742.5056340580013</v>
      </c>
      <c r="D15" s="25">
        <f>(C15/('[44]IV a. Kepemilikan Prov'!$L$44-'[44]IV a. Kepemilikan Prov'!$F$44))-1</f>
        <v>0.33434917083013782</v>
      </c>
      <c r="F15" s="1">
        <v>2</v>
      </c>
      <c r="G15" s="1" t="s">
        <v>36</v>
      </c>
      <c r="H15" s="7">
        <f>H13-H14</f>
        <v>98.300427119999995</v>
      </c>
      <c r="I15" s="25">
        <f>(H15/('[44]IV a. Kepemilikan Prov'!$L$11-'[44]IV a. Kepemilikan Prov'!$F$11))-1</f>
        <v>-0.15744595397689298</v>
      </c>
      <c r="K15" s="1">
        <v>2</v>
      </c>
      <c r="L15" s="1" t="s">
        <v>36</v>
      </c>
      <c r="M15" s="7">
        <f>M13-M14</f>
        <v>500.19863368400001</v>
      </c>
      <c r="N15" s="25">
        <f>(M15/('[44]IV a. Kepemilikan Prov'!$L$36-'[44]IV a. Kepemilikan Prov'!$F$36))-1</f>
        <v>3.7783203025737206</v>
      </c>
      <c r="P15" s="1">
        <v>2</v>
      </c>
      <c r="Q15" s="1" t="s">
        <v>36</v>
      </c>
      <c r="R15" s="7">
        <f>R13-R14</f>
        <v>422.37932221599999</v>
      </c>
      <c r="S15" s="25">
        <f>(R15/('[44]IV a. Kepemilikan Prov'!$L$42-'[44]IV a. Kepemilikan Prov'!$F$42))-1</f>
        <v>0.1030752275477429</v>
      </c>
      <c r="U15" s="1">
        <v>2</v>
      </c>
      <c r="V15" s="1" t="s">
        <v>36</v>
      </c>
      <c r="W15" s="7">
        <f>W13-W14</f>
        <v>2307.433750276</v>
      </c>
      <c r="X15" s="25">
        <f>(W15/('[44]IV a. Kepemilikan Prov'!$L$28-'[44]IV a. Kepemilikan Prov'!$F$28))-1</f>
        <v>0.13614199740385069</v>
      </c>
    </row>
    <row r="16" spans="1:32" x14ac:dyDescent="0.25">
      <c r="C16" s="189"/>
    </row>
    <row r="18" spans="3:5" x14ac:dyDescent="0.25">
      <c r="C18" s="15">
        <f>C14/C13</f>
        <v>0.82080824667170249</v>
      </c>
    </row>
    <row r="26" spans="3:5" x14ac:dyDescent="0.25">
      <c r="E26" s="24"/>
    </row>
  </sheetData>
  <mergeCells count="25">
    <mergeCell ref="U1:X1"/>
    <mergeCell ref="U2:X2"/>
    <mergeCell ref="U4:V4"/>
    <mergeCell ref="U13:V13"/>
    <mergeCell ref="K1:N1"/>
    <mergeCell ref="K2:N2"/>
    <mergeCell ref="K4:L4"/>
    <mergeCell ref="K13:L13"/>
    <mergeCell ref="P1:S1"/>
    <mergeCell ref="P2:S2"/>
    <mergeCell ref="P4:Q4"/>
    <mergeCell ref="P13:Q13"/>
    <mergeCell ref="K8:N8"/>
    <mergeCell ref="P8:S8"/>
    <mergeCell ref="U8:X8"/>
    <mergeCell ref="A4:B4"/>
    <mergeCell ref="A2:D2"/>
    <mergeCell ref="A13:B13"/>
    <mergeCell ref="A1:D1"/>
    <mergeCell ref="F1:I1"/>
    <mergeCell ref="F2:I2"/>
    <mergeCell ref="F4:G4"/>
    <mergeCell ref="F13:G13"/>
    <mergeCell ref="A8:D8"/>
    <mergeCell ref="F8:I8"/>
  </mergeCells>
  <conditionalFormatting sqref="D14:D15">
    <cfRule type="dataBar" priority="23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{114FEEAA-F45C-4627-9167-44C8AF46F855}</x14:id>
        </ext>
      </extLst>
    </cfRule>
  </conditionalFormatting>
  <conditionalFormatting sqref="I14:I15">
    <cfRule type="dataBar" priority="22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{58AF0CE0-D673-468D-8FE3-FFB57F431B8D}</x14:id>
        </ext>
      </extLst>
    </cfRule>
  </conditionalFormatting>
  <conditionalFormatting sqref="N14:N15">
    <cfRule type="dataBar" priority="21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{1C789F2B-D714-42BE-832E-228C9D847D5E}</x14:id>
        </ext>
      </extLst>
    </cfRule>
  </conditionalFormatting>
  <conditionalFormatting sqref="S14:S15">
    <cfRule type="dataBar" priority="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{BABB163B-E1B8-46B2-AF2F-9BB3FBF24843}</x14:id>
        </ext>
      </extLst>
    </cfRule>
  </conditionalFormatting>
  <conditionalFormatting sqref="X14:X15">
    <cfRule type="dataBar" priority="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{9F0BF390-DE69-4550-A930-4DC5138F9EDB}</x14:id>
        </ext>
      </extLst>
    </cfRule>
  </conditionalFormatting>
  <conditionalFormatting sqref="D10">
    <cfRule type="dataBar" priority="61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{0AC19568-E6B6-414D-B46B-CEE963D53103}</x14:id>
        </ext>
      </extLst>
    </cfRule>
  </conditionalFormatting>
  <conditionalFormatting sqref="D11">
    <cfRule type="dataBar" priority="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{228EF8AB-702C-414C-A7A2-91A2AE20AA37}</x14:id>
        </ext>
      </extLst>
    </cfRule>
  </conditionalFormatting>
  <conditionalFormatting sqref="I10">
    <cfRule type="dataBar" priority="13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{7B1D10C2-88C5-4829-8399-9B17E2E1AF5E}</x14:id>
        </ext>
      </extLst>
    </cfRule>
  </conditionalFormatting>
  <conditionalFormatting sqref="I11">
    <cfRule type="dataBar" priority="12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{16F9495A-B23E-483D-8F1B-D69D80022672}</x14:id>
        </ext>
      </extLst>
    </cfRule>
  </conditionalFormatting>
  <conditionalFormatting sqref="N10">
    <cfRule type="dataBar" priority="11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{2C12E3F4-9925-4187-80D9-D98B5CBE0844}</x14:id>
        </ext>
      </extLst>
    </cfRule>
  </conditionalFormatting>
  <conditionalFormatting sqref="N11">
    <cfRule type="dataBar" priority="1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{CBD9957B-884D-483F-BE35-ACD5DC707062}</x14:id>
        </ext>
      </extLst>
    </cfRule>
  </conditionalFormatting>
  <conditionalFormatting sqref="S10">
    <cfRule type="dataBar" priority="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{97C913F6-001B-485D-90FB-0D6610EA9388}</x14:id>
        </ext>
      </extLst>
    </cfRule>
  </conditionalFormatting>
  <conditionalFormatting sqref="S11">
    <cfRule type="dataBar" priority="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{6A02A5EF-1639-4DFD-A949-B017894940B6}</x14:id>
        </ext>
      </extLst>
    </cfRule>
  </conditionalFormatting>
  <conditionalFormatting sqref="X10">
    <cfRule type="dataBar" priority="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{A5D0D48A-459C-497A-A6EE-C5D5E5BC8D9D}</x14:id>
        </ext>
      </extLst>
    </cfRule>
  </conditionalFormatting>
  <conditionalFormatting sqref="X11">
    <cfRule type="dataBar" priority="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{0BC82AD1-1E17-4362-B299-34DC64B718B6}</x14:id>
        </ext>
      </extLst>
    </cfRule>
  </conditionalFormatting>
  <conditionalFormatting sqref="D5:D7">
    <cfRule type="dataBar" priority="3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{8DE4B61E-5B18-4A20-ABCD-70F52957FEA4}</x14:id>
        </ext>
      </extLst>
    </cfRule>
  </conditionalFormatting>
  <conditionalFormatting sqref="I5:I7">
    <cfRule type="dataBar" priority="2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{B844C07A-603F-4336-829E-32E906F2CAEA}</x14:id>
        </ext>
      </extLst>
    </cfRule>
  </conditionalFormatting>
  <conditionalFormatting sqref="N5:N7">
    <cfRule type="dataBar" priority="1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{696E391A-BE2A-4BEB-BE46-4BEFE8A45A44}</x14:id>
        </ext>
      </extLst>
    </cfRule>
  </conditionalFormatting>
  <conditionalFormatting sqref="S5:S7">
    <cfRule type="dataBar" priority="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{10EC3B70-7639-4A4B-A325-F530DB8C40C4}</x14:id>
        </ext>
      </extLst>
    </cfRule>
  </conditionalFormatting>
  <conditionalFormatting sqref="X5:X7">
    <cfRule type="dataBar" priority="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{99A398B2-40FF-4C18-9196-D8CF7967864D}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4FEEAA-F45C-4627-9167-44C8AF46F855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D14:D15</xm:sqref>
        </x14:conditionalFormatting>
        <x14:conditionalFormatting xmlns:xm="http://schemas.microsoft.com/office/excel/2006/main">
          <x14:cfRule type="dataBar" id="{58AF0CE0-D673-468D-8FE3-FFB57F431B8D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I14:I15</xm:sqref>
        </x14:conditionalFormatting>
        <x14:conditionalFormatting xmlns:xm="http://schemas.microsoft.com/office/excel/2006/main">
          <x14:cfRule type="dataBar" id="{1C789F2B-D714-42BE-832E-228C9D847D5E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N14:N15</xm:sqref>
        </x14:conditionalFormatting>
        <x14:conditionalFormatting xmlns:xm="http://schemas.microsoft.com/office/excel/2006/main">
          <x14:cfRule type="dataBar" id="{BABB163B-E1B8-46B2-AF2F-9BB3FBF24843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S14:S15</xm:sqref>
        </x14:conditionalFormatting>
        <x14:conditionalFormatting xmlns:xm="http://schemas.microsoft.com/office/excel/2006/main">
          <x14:cfRule type="dataBar" id="{9F0BF390-DE69-4550-A930-4DC5138F9EDB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X14:X15</xm:sqref>
        </x14:conditionalFormatting>
        <x14:conditionalFormatting xmlns:xm="http://schemas.microsoft.com/office/excel/2006/main">
          <x14:cfRule type="dataBar" id="{0AC19568-E6B6-414D-B46B-CEE963D53103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D10</xm:sqref>
        </x14:conditionalFormatting>
        <x14:conditionalFormatting xmlns:xm="http://schemas.microsoft.com/office/excel/2006/main">
          <x14:cfRule type="dataBar" id="{228EF8AB-702C-414C-A7A2-91A2AE20AA37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D11</xm:sqref>
        </x14:conditionalFormatting>
        <x14:conditionalFormatting xmlns:xm="http://schemas.microsoft.com/office/excel/2006/main">
          <x14:cfRule type="dataBar" id="{7B1D10C2-88C5-4829-8399-9B17E2E1AF5E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16F9495A-B23E-483D-8F1B-D69D80022672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2C12E3F4-9925-4187-80D9-D98B5CBE0844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N10</xm:sqref>
        </x14:conditionalFormatting>
        <x14:conditionalFormatting xmlns:xm="http://schemas.microsoft.com/office/excel/2006/main">
          <x14:cfRule type="dataBar" id="{CBD9957B-884D-483F-BE35-ACD5DC707062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N11</xm:sqref>
        </x14:conditionalFormatting>
        <x14:conditionalFormatting xmlns:xm="http://schemas.microsoft.com/office/excel/2006/main">
          <x14:cfRule type="dataBar" id="{97C913F6-001B-485D-90FB-0D6610EA9388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S10</xm:sqref>
        </x14:conditionalFormatting>
        <x14:conditionalFormatting xmlns:xm="http://schemas.microsoft.com/office/excel/2006/main">
          <x14:cfRule type="dataBar" id="{6A02A5EF-1639-4DFD-A949-B017894940B6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S11</xm:sqref>
        </x14:conditionalFormatting>
        <x14:conditionalFormatting xmlns:xm="http://schemas.microsoft.com/office/excel/2006/main">
          <x14:cfRule type="dataBar" id="{A5D0D48A-459C-497A-A6EE-C5D5E5BC8D9D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X10</xm:sqref>
        </x14:conditionalFormatting>
        <x14:conditionalFormatting xmlns:xm="http://schemas.microsoft.com/office/excel/2006/main">
          <x14:cfRule type="dataBar" id="{0BC82AD1-1E17-4362-B299-34DC64B718B6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8DE4B61E-5B18-4A20-ABCD-70F52957FEA4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D5:D7</xm:sqref>
        </x14:conditionalFormatting>
        <x14:conditionalFormatting xmlns:xm="http://schemas.microsoft.com/office/excel/2006/main">
          <x14:cfRule type="dataBar" id="{B844C07A-603F-4336-829E-32E906F2CAEA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I5:I7</xm:sqref>
        </x14:conditionalFormatting>
        <x14:conditionalFormatting xmlns:xm="http://schemas.microsoft.com/office/excel/2006/main">
          <x14:cfRule type="dataBar" id="{696E391A-BE2A-4BEB-BE46-4BEFE8A45A44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N5:N7</xm:sqref>
        </x14:conditionalFormatting>
        <x14:conditionalFormatting xmlns:xm="http://schemas.microsoft.com/office/excel/2006/main">
          <x14:cfRule type="dataBar" id="{10EC3B70-7639-4A4B-A325-F530DB8C40C4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S5:S7</xm:sqref>
        </x14:conditionalFormatting>
        <x14:conditionalFormatting xmlns:xm="http://schemas.microsoft.com/office/excel/2006/main">
          <x14:cfRule type="dataBar" id="{99A398B2-40FF-4C18-9196-D8CF7967864D}">
            <x14:dataBar minLength="0" maxLength="100" gradient="0">
              <x14:cfvo type="autoMin"/>
              <x14:cfvo type="autoMax"/>
              <x14:negativeFillColor theme="5" tint="0.39997558519241921"/>
              <x14:axisColor rgb="FF000000"/>
            </x14:dataBar>
          </x14:cfRule>
          <xm:sqref>X5:X7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B1C02-E17D-4F96-A6E3-6E9561F9C0BB}">
  <dimension ref="B1:N33"/>
  <sheetViews>
    <sheetView showGridLines="0" zoomScale="85" zoomScaleNormal="85" workbookViewId="0">
      <selection activeCell="C18" sqref="C18:H18"/>
    </sheetView>
  </sheetViews>
  <sheetFormatPr defaultRowHeight="14.4" x14ac:dyDescent="0.3"/>
  <cols>
    <col min="2" max="2" width="11.44140625" bestFit="1" customWidth="1"/>
    <col min="3" max="8" width="10" bestFit="1" customWidth="1"/>
  </cols>
  <sheetData>
    <row r="1" spans="2:12" ht="15" thickBot="1" x14ac:dyDescent="0.35"/>
    <row r="2" spans="2:12" ht="15" thickBot="1" x14ac:dyDescent="0.35">
      <c r="B2" s="185" t="s">
        <v>91</v>
      </c>
      <c r="C2" s="186"/>
      <c r="D2" s="186"/>
      <c r="E2" s="187"/>
    </row>
    <row r="3" spans="2:12" ht="28.2" thickBot="1" x14ac:dyDescent="0.35">
      <c r="B3" s="77" t="s">
        <v>82</v>
      </c>
      <c r="C3" s="78" t="s">
        <v>89</v>
      </c>
      <c r="D3" s="78" t="s">
        <v>88</v>
      </c>
      <c r="E3" s="79" t="s">
        <v>90</v>
      </c>
      <c r="F3" s="78" t="s">
        <v>83</v>
      </c>
      <c r="G3" s="79" t="s">
        <v>84</v>
      </c>
    </row>
    <row r="4" spans="2:12" ht="27.6" x14ac:dyDescent="0.3">
      <c r="B4" s="75" t="s">
        <v>85</v>
      </c>
      <c r="C4" s="80">
        <v>4.7899999999999998E-2</v>
      </c>
      <c r="D4" s="80">
        <v>2.3099999999999999E-2</v>
      </c>
      <c r="E4" s="81">
        <v>2.3E-3</v>
      </c>
      <c r="F4" s="80">
        <v>4.0000000000000001E-3</v>
      </c>
      <c r="G4" s="81">
        <v>2.5999999999999999E-3</v>
      </c>
    </row>
    <row r="5" spans="2:12" x14ac:dyDescent="0.3">
      <c r="B5" s="75" t="s">
        <v>72</v>
      </c>
      <c r="C5" s="80">
        <v>5.8400000000000001E-2</v>
      </c>
      <c r="D5" s="80">
        <v>3.1199999999999999E-2</v>
      </c>
      <c r="E5" s="81">
        <v>5.5999999999999999E-3</v>
      </c>
      <c r="F5" s="80">
        <v>6.0000000000000001E-3</v>
      </c>
      <c r="G5" s="81">
        <v>2.3E-3</v>
      </c>
    </row>
    <row r="6" spans="2:12" x14ac:dyDescent="0.3">
      <c r="B6" s="75" t="s">
        <v>73</v>
      </c>
      <c r="C6" s="80">
        <v>4.5499999999999999E-2</v>
      </c>
      <c r="D6" s="80">
        <v>2.1499999999999998E-2</v>
      </c>
      <c r="E6" s="81">
        <v>3.5000000000000001E-3</v>
      </c>
      <c r="F6" s="80">
        <v>3.2000000000000002E-3</v>
      </c>
      <c r="G6" s="81">
        <v>1.2999999999999999E-3</v>
      </c>
    </row>
    <row r="7" spans="2:12" ht="27.6" x14ac:dyDescent="0.3">
      <c r="B7" s="75" t="s">
        <v>86</v>
      </c>
      <c r="C7" s="80">
        <v>4.7E-2</v>
      </c>
      <c r="D7" s="80">
        <v>2.4799999999999999E-2</v>
      </c>
      <c r="E7" s="81">
        <v>5.0000000000000001E-3</v>
      </c>
      <c r="F7" s="80">
        <v>8.9999999999999993E-3</v>
      </c>
      <c r="G7" s="81">
        <v>3.8E-3</v>
      </c>
    </row>
    <row r="8" spans="2:12" ht="28.2" thickBot="1" x14ac:dyDescent="0.35">
      <c r="B8" s="76" t="s">
        <v>87</v>
      </c>
      <c r="C8" s="82">
        <v>4.6699999999999998E-2</v>
      </c>
      <c r="D8" s="82">
        <v>2.2599999999999999E-2</v>
      </c>
      <c r="E8" s="83">
        <v>6.0000000000000001E-3</v>
      </c>
      <c r="F8" s="82">
        <v>3.8E-3</v>
      </c>
      <c r="G8" s="83">
        <v>4.3E-3</v>
      </c>
    </row>
    <row r="9" spans="2:12" ht="15" thickBot="1" x14ac:dyDescent="0.35"/>
    <row r="10" spans="2:12" x14ac:dyDescent="0.3">
      <c r="B10" s="94"/>
      <c r="C10" s="90" t="s">
        <v>95</v>
      </c>
      <c r="D10" s="90" t="s">
        <v>96</v>
      </c>
      <c r="E10" s="90" t="s">
        <v>97</v>
      </c>
      <c r="F10" s="90" t="s">
        <v>98</v>
      </c>
      <c r="G10" s="91" t="s">
        <v>99</v>
      </c>
    </row>
    <row r="11" spans="2:12" x14ac:dyDescent="0.3">
      <c r="B11" s="92" t="s">
        <v>93</v>
      </c>
      <c r="C11" s="110">
        <v>49</v>
      </c>
      <c r="D11" s="110">
        <v>11</v>
      </c>
      <c r="E11" s="110">
        <v>28</v>
      </c>
      <c r="F11" s="112">
        <v>73</v>
      </c>
      <c r="G11" s="112">
        <v>44</v>
      </c>
      <c r="I11" s="122"/>
      <c r="J11" s="122"/>
      <c r="K11" s="122"/>
    </row>
    <row r="12" spans="2:12" x14ac:dyDescent="0.3">
      <c r="B12" s="92" t="s">
        <v>94</v>
      </c>
      <c r="C12" s="110">
        <v>48</v>
      </c>
      <c r="D12" s="110">
        <v>11</v>
      </c>
      <c r="E12" s="110">
        <v>27</v>
      </c>
      <c r="F12" s="112">
        <v>68</v>
      </c>
      <c r="G12" s="112">
        <v>44</v>
      </c>
      <c r="I12" s="122"/>
      <c r="J12" s="122"/>
      <c r="K12" s="122"/>
    </row>
    <row r="13" spans="2:12" ht="28.2" thickBot="1" x14ac:dyDescent="0.35">
      <c r="B13" s="93" t="s">
        <v>100</v>
      </c>
      <c r="C13" s="110">
        <v>45</v>
      </c>
      <c r="D13" s="110">
        <v>9</v>
      </c>
      <c r="E13" s="110">
        <v>26</v>
      </c>
      <c r="F13" s="110">
        <v>45</v>
      </c>
      <c r="G13" s="112">
        <v>44</v>
      </c>
      <c r="I13" s="122"/>
      <c r="J13" s="122"/>
      <c r="K13" s="122"/>
      <c r="L13" s="122"/>
    </row>
    <row r="17" spans="2:14" ht="15.6" x14ac:dyDescent="0.3">
      <c r="B17" s="123" t="s">
        <v>82</v>
      </c>
      <c r="C17" s="188" t="s">
        <v>111</v>
      </c>
      <c r="D17" s="188"/>
      <c r="E17" s="188"/>
      <c r="F17" s="188"/>
      <c r="G17" s="188"/>
      <c r="H17" s="188"/>
    </row>
    <row r="18" spans="2:14" ht="15.6" x14ac:dyDescent="0.3">
      <c r="B18" s="123"/>
      <c r="C18" s="188" t="s">
        <v>112</v>
      </c>
      <c r="D18" s="188"/>
      <c r="E18" s="188"/>
      <c r="F18" s="188"/>
      <c r="G18" s="188"/>
      <c r="H18" s="188"/>
    </row>
    <row r="19" spans="2:14" ht="15.6" x14ac:dyDescent="0.3">
      <c r="B19" s="123"/>
      <c r="C19" s="124" t="s">
        <v>113</v>
      </c>
      <c r="D19" s="124" t="s">
        <v>114</v>
      </c>
      <c r="E19" s="124" t="s">
        <v>115</v>
      </c>
      <c r="F19" s="124" t="s">
        <v>116</v>
      </c>
      <c r="G19" s="124" t="s">
        <v>117</v>
      </c>
      <c r="H19" s="124" t="s">
        <v>118</v>
      </c>
    </row>
    <row r="20" spans="2:14" ht="15.6" x14ac:dyDescent="0.3">
      <c r="B20" s="125" t="s">
        <v>72</v>
      </c>
      <c r="C20" s="126">
        <v>61.747</v>
      </c>
      <c r="D20" s="126">
        <v>63.840339999999998</v>
      </c>
      <c r="E20" s="126">
        <v>65.563940000000002</v>
      </c>
      <c r="F20" s="126">
        <v>66.35114999999999</v>
      </c>
      <c r="G20" s="126">
        <v>66.390919999999994</v>
      </c>
      <c r="H20" s="126">
        <v>69.691679999999991</v>
      </c>
    </row>
    <row r="21" spans="2:14" ht="15.6" x14ac:dyDescent="0.3">
      <c r="B21" s="125" t="s">
        <v>71</v>
      </c>
      <c r="C21" s="126">
        <v>296.49046000000004</v>
      </c>
      <c r="D21" s="126">
        <v>306.73878000000002</v>
      </c>
      <c r="E21" s="126">
        <v>315.56213000000002</v>
      </c>
      <c r="F21" s="126">
        <v>317.40219999999999</v>
      </c>
      <c r="G21" s="126">
        <v>320.02918</v>
      </c>
      <c r="H21" s="126">
        <v>341.04866999999996</v>
      </c>
    </row>
    <row r="22" spans="2:14" ht="15.6" x14ac:dyDescent="0.3">
      <c r="B22" s="125" t="s">
        <v>74</v>
      </c>
      <c r="C22" s="126">
        <v>86.218210000000013</v>
      </c>
      <c r="D22" s="126">
        <v>88.342160000000007</v>
      </c>
      <c r="E22" s="126">
        <v>88.356320000000011</v>
      </c>
      <c r="F22" s="126">
        <v>89.272710000000004</v>
      </c>
      <c r="G22" s="126">
        <v>92.950659999999999</v>
      </c>
      <c r="H22" s="126">
        <v>95.501360000000005</v>
      </c>
    </row>
    <row r="23" spans="2:14" ht="15.6" x14ac:dyDescent="0.3">
      <c r="B23" s="125" t="s">
        <v>73</v>
      </c>
      <c r="C23" s="126">
        <v>293.6746</v>
      </c>
      <c r="D23" s="126">
        <v>293.42964000000001</v>
      </c>
      <c r="E23" s="126">
        <v>306.72209999999995</v>
      </c>
      <c r="F23" s="126">
        <v>307.55743000000001</v>
      </c>
      <c r="G23" s="126">
        <v>317.06056999999998</v>
      </c>
      <c r="H23" s="126">
        <v>340.34298999999999</v>
      </c>
    </row>
    <row r="24" spans="2:14" ht="15.6" x14ac:dyDescent="0.3">
      <c r="B24" s="125" t="s">
        <v>119</v>
      </c>
      <c r="C24" s="126">
        <v>91.298690000000008</v>
      </c>
      <c r="D24" s="126">
        <v>93.700810000000004</v>
      </c>
      <c r="E24" s="126">
        <v>94.593140000000005</v>
      </c>
      <c r="F24" s="126">
        <v>102.13724000000001</v>
      </c>
      <c r="G24" s="126">
        <v>99.380369999999999</v>
      </c>
      <c r="H24" s="126">
        <v>104.8078</v>
      </c>
    </row>
    <row r="26" spans="2:14" ht="15.6" x14ac:dyDescent="0.3">
      <c r="C26" s="124" t="s">
        <v>113</v>
      </c>
      <c r="D26" s="124" t="s">
        <v>114</v>
      </c>
      <c r="E26" s="124" t="s">
        <v>115</v>
      </c>
      <c r="F26" s="124" t="s">
        <v>116</v>
      </c>
      <c r="G26" s="124" t="s">
        <v>117</v>
      </c>
      <c r="H26" s="124" t="s">
        <v>118</v>
      </c>
    </row>
    <row r="27" spans="2:14" ht="15.6" x14ac:dyDescent="0.3">
      <c r="B27" s="125" t="s">
        <v>72</v>
      </c>
      <c r="C27" s="109">
        <v>4.588541113191047E-2</v>
      </c>
      <c r="D27" s="109">
        <v>4.8153255315606991E-2</v>
      </c>
      <c r="E27" s="109">
        <v>4.4558634306792522E-2</v>
      </c>
      <c r="F27" s="109">
        <v>-1.606255346698604E-2</v>
      </c>
      <c r="G27" s="109">
        <v>4.093019232808337E-2</v>
      </c>
      <c r="H27" s="109">
        <v>4.8564122653436348E-2</v>
      </c>
    </row>
    <row r="28" spans="2:14" ht="15.6" x14ac:dyDescent="0.3">
      <c r="B28" s="125" t="s">
        <v>71</v>
      </c>
      <c r="C28" s="109">
        <v>4.6669493593934241E-2</v>
      </c>
      <c r="D28" s="109">
        <v>4.689154715528443E-2</v>
      </c>
      <c r="E28" s="109">
        <v>4.5506078029247776E-2</v>
      </c>
      <c r="F28" s="109">
        <v>4.2346287028187213E-2</v>
      </c>
      <c r="G28" s="109">
        <v>4.9838212993664532E-2</v>
      </c>
      <c r="H28" s="109">
        <v>5.0593855828015899E-2</v>
      </c>
      <c r="I28" s="124"/>
      <c r="J28" s="124"/>
      <c r="K28" s="124"/>
      <c r="L28" s="124"/>
      <c r="M28" s="124"/>
      <c r="N28" s="124"/>
    </row>
    <row r="29" spans="2:14" ht="15.6" x14ac:dyDescent="0.3">
      <c r="B29" s="125" t="s">
        <v>74</v>
      </c>
      <c r="C29" s="109">
        <v>4.5457223317803219E-2</v>
      </c>
      <c r="D29" s="109">
        <v>3.9365202392842802E-2</v>
      </c>
      <c r="E29" s="109">
        <v>3.3643529998018673E-2</v>
      </c>
      <c r="F29" s="109">
        <v>1.6943760538487895E-2</v>
      </c>
      <c r="G29" s="109">
        <v>5.0065383346684866E-2</v>
      </c>
      <c r="H29" s="109">
        <v>4.5431646084924227E-2</v>
      </c>
      <c r="I29" s="126"/>
      <c r="J29" s="126"/>
      <c r="K29" s="126"/>
      <c r="L29" s="126"/>
      <c r="M29" s="126"/>
      <c r="N29" s="126"/>
    </row>
    <row r="30" spans="2:14" ht="15.6" x14ac:dyDescent="0.3">
      <c r="B30" s="125" t="s">
        <v>73</v>
      </c>
      <c r="C30" s="109">
        <v>4.6523281370691061E-2</v>
      </c>
      <c r="D30" s="109">
        <v>4.5903548405070049E-2</v>
      </c>
      <c r="E30" s="109">
        <v>4.9756508102665187E-2</v>
      </c>
      <c r="F30" s="109">
        <v>4.9391673893820043E-2</v>
      </c>
      <c r="G30" s="109">
        <v>4.8908292856922664E-2</v>
      </c>
      <c r="H30" s="109">
        <v>4.7502144419466763E-2</v>
      </c>
      <c r="I30" s="126"/>
      <c r="J30" s="126"/>
      <c r="K30" s="126"/>
      <c r="L30" s="126"/>
      <c r="M30" s="126"/>
      <c r="N30" s="126"/>
    </row>
    <row r="31" spans="2:14" ht="15.6" x14ac:dyDescent="0.3">
      <c r="B31" s="125" t="s">
        <v>119</v>
      </c>
      <c r="C31" s="109">
        <v>5.1575998369212561E-2</v>
      </c>
      <c r="D31" s="109">
        <v>7.1361590725168789E-2</v>
      </c>
      <c r="E31" s="109">
        <v>7.4793403107563217E-2</v>
      </c>
      <c r="F31" s="109">
        <v>7.8936190223973579E-2</v>
      </c>
      <c r="G31" s="109">
        <v>7.0444013995851096E-2</v>
      </c>
      <c r="H31" s="109">
        <v>6.9941837706751109E-2</v>
      </c>
      <c r="I31" s="126"/>
      <c r="J31" s="126"/>
      <c r="K31" s="126"/>
      <c r="L31" s="126"/>
      <c r="M31" s="126"/>
      <c r="N31" s="126"/>
    </row>
    <row r="32" spans="2:14" ht="15.6" x14ac:dyDescent="0.3">
      <c r="I32" s="126"/>
      <c r="J32" s="126"/>
      <c r="K32" s="126"/>
      <c r="L32" s="126"/>
      <c r="M32" s="126"/>
      <c r="N32" s="126"/>
    </row>
    <row r="33" spans="9:14" ht="15.6" x14ac:dyDescent="0.3">
      <c r="I33" s="126"/>
      <c r="J33" s="126"/>
      <c r="K33" s="126"/>
      <c r="L33" s="126"/>
      <c r="M33" s="126"/>
      <c r="N33" s="126"/>
    </row>
  </sheetData>
  <mergeCells count="3">
    <mergeCell ref="B2:E2"/>
    <mergeCell ref="C17:H17"/>
    <mergeCell ref="C18:H18"/>
  </mergeCells>
  <conditionalFormatting sqref="C4:C8">
    <cfRule type="dataBar" priority="5">
      <dataBar>
        <cfvo type="min"/>
        <cfvo type="max"/>
        <color rgb="FFFDC9B9"/>
      </dataBar>
      <extLst>
        <ext xmlns:x14="http://schemas.microsoft.com/office/spreadsheetml/2009/9/main" uri="{B025F937-C7B1-47D3-B67F-A62EFF666E3E}">
          <x14:id>{A5977EB9-5563-4343-8E84-FA14CF3517F1}</x14:id>
        </ext>
      </extLst>
    </cfRule>
  </conditionalFormatting>
  <conditionalFormatting sqref="E4:E8">
    <cfRule type="dataBar" priority="4">
      <dataBar>
        <cfvo type="min"/>
        <cfvo type="max"/>
        <color rgb="FFFDC9B9"/>
      </dataBar>
      <extLst>
        <ext xmlns:x14="http://schemas.microsoft.com/office/spreadsheetml/2009/9/main" uri="{B025F937-C7B1-47D3-B67F-A62EFF666E3E}">
          <x14:id>{E7D282A1-9115-4FE0-A25A-3F6116017984}</x14:id>
        </ext>
      </extLst>
    </cfRule>
  </conditionalFormatting>
  <conditionalFormatting sqref="F4:F8">
    <cfRule type="dataBar" priority="3">
      <dataBar>
        <cfvo type="min"/>
        <cfvo type="max"/>
        <color rgb="FFFDC9B9"/>
      </dataBar>
      <extLst>
        <ext xmlns:x14="http://schemas.microsoft.com/office/spreadsheetml/2009/9/main" uri="{B025F937-C7B1-47D3-B67F-A62EFF666E3E}">
          <x14:id>{0B1AF45D-6D43-4CF8-ABE5-787D443356F9}</x14:id>
        </ext>
      </extLst>
    </cfRule>
  </conditionalFormatting>
  <conditionalFormatting sqref="G4:G8">
    <cfRule type="dataBar" priority="2">
      <dataBar>
        <cfvo type="min"/>
        <cfvo type="max"/>
        <color rgb="FFFDC9B9"/>
      </dataBar>
      <extLst>
        <ext xmlns:x14="http://schemas.microsoft.com/office/spreadsheetml/2009/9/main" uri="{B025F937-C7B1-47D3-B67F-A62EFF666E3E}">
          <x14:id>{F44DB7E1-FD02-45CC-BE87-8A7BDE6FADE9}</x14:id>
        </ext>
      </extLst>
    </cfRule>
  </conditionalFormatting>
  <conditionalFormatting sqref="D4:D8">
    <cfRule type="dataBar" priority="1">
      <dataBar>
        <cfvo type="min"/>
        <cfvo type="max"/>
        <color rgb="FFFDC9B9"/>
      </dataBar>
      <extLst>
        <ext xmlns:x14="http://schemas.microsoft.com/office/spreadsheetml/2009/9/main" uri="{B025F937-C7B1-47D3-B67F-A62EFF666E3E}">
          <x14:id>{3253C89F-1B88-4130-998B-B59B66682D81}</x14:id>
        </ext>
      </extLst>
    </cfRule>
  </conditionalFormatting>
  <pageMargins left="0.7" right="0.7" top="0.75" bottom="0.75" header="0.3" footer="0.3"/>
  <pageSetup paperSize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5977EB9-5563-4343-8E84-FA14CF3517F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C4:C8</xm:sqref>
        </x14:conditionalFormatting>
        <x14:conditionalFormatting xmlns:xm="http://schemas.microsoft.com/office/excel/2006/main">
          <x14:cfRule type="dataBar" id="{E7D282A1-9115-4FE0-A25A-3F61160179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E4:E8</xm:sqref>
        </x14:conditionalFormatting>
        <x14:conditionalFormatting xmlns:xm="http://schemas.microsoft.com/office/excel/2006/main">
          <x14:cfRule type="dataBar" id="{0B1AF45D-6D43-4CF8-ABE5-787D443356F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F4:F8</xm:sqref>
        </x14:conditionalFormatting>
        <x14:conditionalFormatting xmlns:xm="http://schemas.microsoft.com/office/excel/2006/main">
          <x14:cfRule type="dataBar" id="{F44DB7E1-FD02-45CC-BE87-8A7BDE6FAD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G4:G8</xm:sqref>
        </x14:conditionalFormatting>
        <x14:conditionalFormatting xmlns:xm="http://schemas.microsoft.com/office/excel/2006/main">
          <x14:cfRule type="dataBar" id="{3253C89F-1B88-4130-998B-B59B66682D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D4:D8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2DB78F8-9950-4A84-B2CD-2623900B13E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BU-Kinerja Umum</vt:lpstr>
      <vt:lpstr>BU-Jenis Kredit</vt:lpstr>
      <vt:lpstr>BU-Skala Kredit</vt:lpstr>
      <vt:lpstr>Kredit BU Per Sektor</vt:lpstr>
      <vt:lpstr>Bank Imut</vt:lpstr>
      <vt:lpstr>BPR-Kinerja Umum</vt:lpstr>
      <vt:lpstr>PVML</vt:lpstr>
      <vt:lpstr>PPDP</vt:lpstr>
      <vt:lpstr>PM</vt:lpstr>
      <vt:lpstr>++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Ahmad</dc:creator>
  <cp:lastModifiedBy>tryy putri</cp:lastModifiedBy>
  <dcterms:created xsi:type="dcterms:W3CDTF">2025-08-08T04:37:43Z</dcterms:created>
  <dcterms:modified xsi:type="dcterms:W3CDTF">2026-10-06T10:10:00Z</dcterms:modified>
</cp:coreProperties>
</file>